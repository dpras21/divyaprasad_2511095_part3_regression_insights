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Part 3\"/>
    </mc:Choice>
  </mc:AlternateContent>
  <xr:revisionPtr revIDLastSave="0" documentId="13_ncr:1_{7CD6D864-99C3-4D13-9352-1031B0877E26}" xr6:coauthVersionLast="47" xr6:coauthVersionMax="47" xr10:uidLastSave="{00000000-0000-0000-0000-000000000000}"/>
  <bookViews>
    <workbookView xWindow="-120" yWindow="-120" windowWidth="20730" windowHeight="11040" firstSheet="5" activeTab="6" xr2:uid="{00000000-000D-0000-FFFF-FFFF00000000}"/>
  </bookViews>
  <sheets>
    <sheet name="Original dataset" sheetId="1" r:id="rId1"/>
    <sheet name="Cleaned data" sheetId="3" r:id="rId2"/>
    <sheet name="Dummy variable creation" sheetId="4" r:id="rId3"/>
    <sheet name="Simple regression output 1" sheetId="12" r:id="rId4"/>
    <sheet name="Simple regression output 2" sheetId="14" r:id="rId5"/>
    <sheet name="Multiple regression outputs" sheetId="13" r:id="rId6"/>
    <sheet name="Prediction and residual calcula" sheetId="7" r:id="rId7"/>
    <sheet name="Model comparison sheet" sheetId="8" r:id="rId8"/>
  </sheets>
  <definedNames>
    <definedName name="_xlnm._FilterDatabase" localSheetId="1" hidden="1">'Cleaned data'!$A$1:$N$321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7" l="1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J284" i="7"/>
  <c r="J285" i="7"/>
  <c r="J286" i="7"/>
  <c r="J287" i="7"/>
  <c r="J288" i="7"/>
  <c r="J289" i="7"/>
  <c r="J290" i="7"/>
  <c r="J291" i="7"/>
  <c r="J292" i="7"/>
  <c r="J293" i="7"/>
  <c r="J294" i="7"/>
  <c r="J295" i="7"/>
  <c r="J296" i="7"/>
  <c r="J297" i="7"/>
  <c r="J298" i="7"/>
  <c r="J299" i="7"/>
  <c r="J300" i="7"/>
  <c r="J301" i="7"/>
  <c r="J302" i="7"/>
  <c r="J303" i="7"/>
  <c r="J304" i="7"/>
  <c r="J305" i="7"/>
  <c r="J306" i="7"/>
  <c r="J307" i="7"/>
  <c r="J308" i="7"/>
  <c r="J309" i="7"/>
  <c r="J310" i="7"/>
  <c r="J311" i="7"/>
  <c r="J312" i="7"/>
  <c r="J313" i="7"/>
  <c r="J314" i="7"/>
  <c r="J315" i="7"/>
  <c r="J316" i="7"/>
  <c r="J317" i="7"/>
  <c r="J318" i="7"/>
  <c r="J319" i="7"/>
  <c r="J320" i="7"/>
  <c r="J321" i="7"/>
  <c r="J2" i="7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2" i="3"/>
  <c r="D3" i="4" l="1"/>
  <c r="D4" i="4"/>
  <c r="D5" i="4"/>
  <c r="D2" i="4"/>
  <c r="C2" i="4"/>
  <c r="C3" i="4"/>
  <c r="C4" i="4"/>
  <c r="C5" i="4"/>
  <c r="B2" i="4"/>
  <c r="B3" i="4"/>
  <c r="B4" i="4"/>
  <c r="B5" i="4"/>
</calcChain>
</file>

<file path=xl/sharedStrings.xml><?xml version="1.0" encoding="utf-8"?>
<sst xmlns="http://schemas.openxmlformats.org/spreadsheetml/2006/main" count="2074" uniqueCount="152">
  <si>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</si>
  <si>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</si>
  <si>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</si>
  <si>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</si>
  <si>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</si>
  <si>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</si>
  <si>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</si>
  <si>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</si>
  <si>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</si>
  <si>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</si>
  <si>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</si>
  <si>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</si>
  <si>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</si>
  <si>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</si>
  <si>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</si>
  <si>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</si>
  <si>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</si>
  <si>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</si>
  <si>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</si>
  <si>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</si>
  <si>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</si>
  <si>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</si>
  <si>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</si>
  <si>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</si>
  <si>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</si>
  <si>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</si>
  <si>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</si>
  <si>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</si>
  <si>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</si>
  <si>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</si>
  <si>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</si>
  <si>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</si>
  <si>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</si>
  <si>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</si>
  <si>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</si>
  <si>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</si>
  <si>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</si>
  <si>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</si>
  <si>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</si>
  <si>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</si>
  <si>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</si>
  <si>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</si>
  <si>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</si>
  <si>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</si>
  <si>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</si>
  <si>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</si>
  <si>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</si>
  <si>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</si>
  <si>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</si>
  <si>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</si>
  <si>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</si>
  <si>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</si>
  <si>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</si>
  <si>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</si>
  <si>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</si>
  <si>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</si>
  <si>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</si>
  <si>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</si>
  <si>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</si>
  <si>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</si>
  <si>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</si>
  <si>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</si>
  <si>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</si>
  <si>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</si>
  <si>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</si>
  <si>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</si>
  <si>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</si>
  <si>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</si>
  <si>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</si>
  <si>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</si>
  <si>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</si>
  <si>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</si>
  <si>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</si>
  <si>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</si>
  <si>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</si>
  <si>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</si>
  <si>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</si>
  <si>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</si>
  <si>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</si>
  <si>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</si>
  <si>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</si>
  <si>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</si>
  <si>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</si>
  <si>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</si>
  <si>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</si>
  <si>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</si>
  <si>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</si>
  <si>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</si>
  <si>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</si>
  <si>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</si>
  <si>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</si>
  <si>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</si>
  <si>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</si>
  <si>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</si>
  <si>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</si>
  <si>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</si>
  <si>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</si>
  <si>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</si>
  <si>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</si>
  <si>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</si>
  <si>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</si>
  <si>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</si>
  <si>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Region</t>
  </si>
  <si>
    <t>Region_East</t>
  </si>
  <si>
    <t>Region_North</t>
  </si>
  <si>
    <t>Region_South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</si>
  <si>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</si>
  <si>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</si>
  <si>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</si>
  <si>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</si>
  <si>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</si>
  <si>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</si>
  <si>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</si>
  <si>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</si>
  <si>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</si>
  <si>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</si>
  <si>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</si>
  <si>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</si>
  <si>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</si>
  <si>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</si>
  <si>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</si>
  <si>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</si>
  <si>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</si>
  <si>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</si>
  <si>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</si>
  <si>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</si>
  <si>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</si>
  <si>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</si>
  <si>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</si>
  <si>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</si>
  <si>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Model Name</t>
  </si>
  <si>
    <t>Variables Used</t>
  </si>
  <si>
    <t>R-Squared</t>
  </si>
  <si>
    <t>Significant Variables</t>
  </si>
  <si>
    <t>Business Usefulness</t>
  </si>
  <si>
    <t>Limitations</t>
  </si>
  <si>
    <t>Simple Regression Model 1 (Marketing Spend vs Monthly Sales)</t>
  </si>
  <si>
    <t>Simple Regression Model 2 (Footfall vs Monthly Sales)</t>
  </si>
  <si>
    <t>Footfall has a strong positive relationship with sales. Higher customer visits lead to higher monthly sales.</t>
  </si>
  <si>
    <t>Although strong, the model ignores other important business factors such as marketing, discounts, and inventory.</t>
  </si>
  <si>
    <t>Multiple Regression Model</t>
  </si>
  <si>
    <t>The model may still miss external factors such as economic conditions, seasonality, customer preferences, and competitor strategies.</t>
  </si>
  <si>
    <r>
      <t>Dependent Variable: </t>
    </r>
    <r>
      <rPr>
        <sz val="10"/>
        <rFont val="Calibri"/>
        <family val="2"/>
        <scheme val="major"/>
      </rPr>
      <t>monthly_sales</t>
    </r>
    <r>
      <rPr>
        <sz val="11"/>
        <rFont val="Calibri"/>
        <family val="2"/>
        <scheme val="major"/>
      </rPr>
      <t>Independent Variable: </t>
    </r>
    <r>
      <rPr>
        <sz val="10"/>
        <rFont val="Calibri"/>
        <family val="2"/>
        <scheme val="major"/>
      </rPr>
      <t>marketing_spend</t>
    </r>
  </si>
  <si>
    <r>
      <t>marketing_spend</t>
    </r>
    <r>
      <rPr>
        <sz val="11"/>
        <rFont val="Calibri"/>
        <family val="2"/>
        <scheme val="major"/>
      </rPr>
      <t> is statistically significant (p-value = 2.48E-14)</t>
    </r>
  </si>
  <si>
    <r>
      <t>Marketing spend positively impacts monthly sales. For every 1-unit increase in marketing spend, monthly sales increase by approximately </t>
    </r>
    <r>
      <rPr>
        <b/>
        <sz val="11"/>
        <rFont val="Calibri"/>
        <family val="2"/>
        <scheme val="major"/>
      </rPr>
      <t>2.13 units</t>
    </r>
    <r>
      <rPr>
        <sz val="11"/>
        <rFont val="Calibri"/>
        <family val="2"/>
        <scheme val="major"/>
      </rPr>
      <t>.</t>
    </r>
  </si>
  <si>
    <r>
      <t>Explains only </t>
    </r>
    <r>
      <rPr>
        <b/>
        <sz val="11"/>
        <rFont val="Calibri"/>
        <family val="2"/>
        <scheme val="major"/>
      </rPr>
      <t>16.7%</t>
    </r>
    <r>
      <rPr>
        <sz val="11"/>
        <rFont val="Calibri"/>
        <family val="2"/>
        <scheme val="major"/>
      </rPr>
      <t> of sales variation. Many other factors affecting sales are not included.</t>
    </r>
  </si>
  <si>
    <r>
      <t>Dependent Variable: </t>
    </r>
    <r>
      <rPr>
        <sz val="10"/>
        <rFont val="Calibri"/>
        <family val="2"/>
        <scheme val="major"/>
      </rPr>
      <t>monthly_sales</t>
    </r>
    <r>
      <rPr>
        <sz val="11"/>
        <rFont val="Calibri"/>
        <family val="2"/>
        <scheme val="major"/>
      </rPr>
      <t>Independent Variable: </t>
    </r>
    <r>
      <rPr>
        <sz val="10"/>
        <rFont val="Calibri"/>
        <family val="2"/>
        <scheme val="major"/>
      </rPr>
      <t>footfall</t>
    </r>
  </si>
  <si>
    <r>
      <t>footfall</t>
    </r>
    <r>
      <rPr>
        <sz val="11"/>
        <rFont val="Calibri"/>
        <family val="2"/>
        <scheme val="major"/>
      </rPr>
      <t> is statistically significant (p-value = 4.75E-94)</t>
    </r>
  </si>
  <si>
    <r>
      <t>Dependent Variable: </t>
    </r>
    <r>
      <rPr>
        <sz val="10"/>
        <rFont val="Calibri"/>
        <family val="2"/>
        <scheme val="major"/>
      </rPr>
      <t>monthly_sales</t>
    </r>
    <r>
      <rPr>
        <sz val="11"/>
        <rFont val="Calibri"/>
        <family val="2"/>
        <scheme val="major"/>
      </rPr>
      <t>Independent Variables: </t>
    </r>
    <r>
      <rPr>
        <sz val="10"/>
        <rFont val="Calibri"/>
        <family val="2"/>
        <scheme val="major"/>
      </rPr>
      <t>marketing_spend</t>
    </r>
    <r>
      <rPr>
        <sz val="11"/>
        <rFont val="Calibri"/>
        <family val="2"/>
        <scheme val="major"/>
      </rPr>
      <t>, </t>
    </r>
    <r>
      <rPr>
        <sz val="10"/>
        <rFont val="Calibri"/>
        <family val="2"/>
        <scheme val="major"/>
      </rPr>
      <t>footfall</t>
    </r>
    <r>
      <rPr>
        <sz val="11"/>
        <rFont val="Calibri"/>
        <family val="2"/>
        <scheme val="major"/>
      </rPr>
      <t>, </t>
    </r>
    <r>
      <rPr>
        <sz val="10"/>
        <rFont val="Calibri"/>
        <family val="2"/>
        <scheme val="major"/>
      </rPr>
      <t>avg_discount_pct</t>
    </r>
    <r>
      <rPr>
        <sz val="11"/>
        <rFont val="Calibri"/>
        <family val="2"/>
        <scheme val="major"/>
      </rPr>
      <t>, </t>
    </r>
    <r>
      <rPr>
        <sz val="10"/>
        <rFont val="Calibri"/>
        <family val="2"/>
        <scheme val="major"/>
      </rPr>
      <t>staff_count</t>
    </r>
    <r>
      <rPr>
        <sz val="11"/>
        <rFont val="Calibri"/>
        <family val="2"/>
        <scheme val="major"/>
      </rPr>
      <t>, </t>
    </r>
    <r>
      <rPr>
        <sz val="10"/>
        <rFont val="Calibri"/>
        <family val="2"/>
        <scheme val="major"/>
      </rPr>
      <t>inventory_availability_pct</t>
    </r>
    <r>
      <rPr>
        <sz val="11"/>
        <rFont val="Calibri"/>
        <family val="2"/>
        <scheme val="major"/>
      </rPr>
      <t>, </t>
    </r>
    <r>
      <rPr>
        <sz val="10"/>
        <rFont val="Calibri"/>
        <family val="2"/>
        <scheme val="major"/>
      </rPr>
      <t>competitor_distance</t>
    </r>
    <r>
      <rPr>
        <sz val="11"/>
        <rFont val="Calibri"/>
        <family val="2"/>
        <scheme val="major"/>
      </rPr>
      <t>, </t>
    </r>
    <r>
      <rPr>
        <sz val="10"/>
        <rFont val="Calibri"/>
        <family val="2"/>
        <scheme val="major"/>
      </rPr>
      <t>holiday_flag</t>
    </r>
    <r>
      <rPr>
        <sz val="11"/>
        <rFont val="Calibri"/>
        <family val="2"/>
        <scheme val="major"/>
      </rPr>
      <t>, </t>
    </r>
    <r>
      <rPr>
        <sz val="10"/>
        <rFont val="Calibri"/>
        <family val="2"/>
        <scheme val="major"/>
      </rPr>
      <t>customer_rating</t>
    </r>
  </si>
  <si>
    <r>
      <t>Significant variables include </t>
    </r>
    <r>
      <rPr>
        <sz val="10"/>
        <rFont val="Calibri"/>
        <family val="2"/>
        <scheme val="major"/>
      </rPr>
      <t>marketing_spend</t>
    </r>
    <r>
      <rPr>
        <sz val="11"/>
        <rFont val="Calibri"/>
        <family val="2"/>
        <scheme val="major"/>
      </rPr>
      <t>, </t>
    </r>
    <r>
      <rPr>
        <sz val="10"/>
        <rFont val="Calibri"/>
        <family val="2"/>
        <scheme val="major"/>
      </rPr>
      <t>footfall</t>
    </r>
    <r>
      <rPr>
        <sz val="11"/>
        <rFont val="Calibri"/>
        <family val="2"/>
        <scheme val="major"/>
      </rPr>
      <t>, </t>
    </r>
    <r>
      <rPr>
        <sz val="10"/>
        <rFont val="Calibri"/>
        <family val="2"/>
        <scheme val="major"/>
      </rPr>
      <t>avg_discount_pct</t>
    </r>
    <r>
      <rPr>
        <sz val="11"/>
        <rFont val="Calibri"/>
        <family val="2"/>
        <scheme val="major"/>
      </rPr>
      <t>, </t>
    </r>
    <r>
      <rPr>
        <sz val="10"/>
        <rFont val="Calibri"/>
        <family val="2"/>
        <scheme val="major"/>
      </rPr>
      <t>staff_count</t>
    </r>
    <r>
      <rPr>
        <sz val="11"/>
        <rFont val="Calibri"/>
        <family val="2"/>
        <scheme val="major"/>
      </rPr>
      <t>, </t>
    </r>
    <r>
      <rPr>
        <sz val="10"/>
        <rFont val="Calibri"/>
        <family val="2"/>
        <scheme val="major"/>
      </rPr>
      <t>inventory_availability_pct</t>
    </r>
    <r>
      <rPr>
        <sz val="11"/>
        <rFont val="Calibri"/>
        <family val="2"/>
        <scheme val="major"/>
      </rPr>
      <t>, </t>
    </r>
    <r>
      <rPr>
        <sz val="10"/>
        <rFont val="Calibri"/>
        <family val="2"/>
        <scheme val="major"/>
      </rPr>
      <t>competitor_distance</t>
    </r>
    <r>
      <rPr>
        <sz val="11"/>
        <rFont val="Calibri"/>
        <family val="2"/>
        <scheme val="major"/>
      </rPr>
      <t>, and </t>
    </r>
    <r>
      <rPr>
        <sz val="10"/>
        <rFont val="Calibri"/>
        <family val="2"/>
        <scheme val="major"/>
      </rPr>
      <t>customer_rating</t>
    </r>
    <r>
      <rPr>
        <sz val="11"/>
        <rFont val="Calibri"/>
        <family val="2"/>
        <scheme val="major"/>
      </rPr>
      <t> (p-value &lt; 0.05). </t>
    </r>
    <r>
      <rPr>
        <sz val="10"/>
        <rFont val="Calibri"/>
        <family val="2"/>
        <scheme val="major"/>
      </rPr>
      <t>holiday_flag</t>
    </r>
    <r>
      <rPr>
        <sz val="11"/>
        <rFont val="Calibri"/>
        <family val="2"/>
        <scheme val="major"/>
      </rPr>
      <t> is comparatively weak (p-value = 0.054).</t>
    </r>
  </si>
  <si>
    <r>
      <t>This model provides the best prediction because it considers multiple business factors simultaneously and explains approximately </t>
    </r>
    <r>
      <rPr>
        <b/>
        <sz val="11"/>
        <rFont val="Calibri"/>
        <family val="2"/>
        <scheme val="major"/>
      </rPr>
      <t>82.8%</t>
    </r>
    <r>
      <rPr>
        <sz val="11"/>
        <rFont val="Calibri"/>
        <family val="2"/>
        <scheme val="major"/>
      </rPr>
      <t> of variation in monthly sales.</t>
    </r>
  </si>
  <si>
    <t>Predicted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</si>
</sst>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7">
    <font>
      <sz val="11"/>
      <name val="Carlito"/>
    </font>
    <font>
      <b/>
      <sz val="11"/>
      <color rgb="FFFFFFFF"/>
      <name val="Carlito"/>
    </font>
    <font>
      <sz val="11"/>
      <name val="Carlito"/>
    </font>
    <font>
      <i/>
      <sz val="11"/>
      <name val="Carlito"/>
    </font>
    <font>
      <b/>
      <sz val="11"/>
      <name val="Calibri"/>
      <family val="2"/>
      <scheme val="major"/>
    </font>
    <font>
      <sz val="11"/>
      <name val="Calibri"/>
      <family val="2"/>
      <scheme val="major"/>
    </font>
    <font>
      <sz val="10"/>
      <name val="Calibri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365F91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8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/>
    <xf numFmtId="0" fontId="0" fillId="0" borderId="1" xfId="0" applyNumberFormat="1" applyFont="1" applyFill="1" applyBorder="1" applyAlignment="1"/>
    <xf numFmtId="164" fontId="0" fillId="0" borderId="0" xfId="0" applyNumberFormat="1" applyFont="1" applyFill="1" applyBorder="1" applyAlignment="1"/>
    <xf numFmtId="10" fontId="1" fillId="2" borderId="0" xfId="1" applyNumberFormat="1" applyFont="1" applyFill="1" applyBorder="1" applyAlignment="1">
      <alignment horizontal="center" vertical="center" wrapText="1"/>
    </xf>
    <xf numFmtId="10" fontId="0" fillId="0" borderId="0" xfId="1" applyNumberFormat="1" applyFont="1" applyFill="1" applyBorder="1" applyAlignment="1"/>
    <xf numFmtId="10" fontId="0" fillId="0" borderId="0" xfId="1" applyNumberFormat="1" applyFont="1"/>
    <xf numFmtId="0" fontId="0" fillId="0" borderId="1" xfId="0" applyFill="1" applyBorder="1" applyAlignment="1"/>
    <xf numFmtId="0" fontId="0" fillId="0" borderId="2" xfId="0" applyFill="1" applyBorder="1" applyAlignment="1"/>
    <xf numFmtId="0" fontId="3" fillId="0" borderId="3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Continuous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 wrapText="1" indent="1"/>
    </xf>
    <xf numFmtId="0" fontId="5" fillId="0" borderId="4" xfId="0" applyFont="1" applyBorder="1" applyAlignment="1">
      <alignment horizontal="left" vertical="center" wrapText="1" indent="1"/>
    </xf>
    <xf numFmtId="0" fontId="4" fillId="0" borderId="4" xfId="0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wrapText="1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DAE5EA-D826-405D-8041-FB7974877C21}" name="Table1" displayName="Table1" ref="A1:D5" totalsRowShown="0">
  <tableColumns count="4">
    <tableColumn id="1" xr3:uid="{322AC291-1989-40C3-BB2C-8B4CA061088C}" name="Region"/>
    <tableColumn id="2" xr3:uid="{2A98777A-1B90-4A3F-A2F9-7AAE474E6999}" name="Region_East">
      <calculatedColumnFormula>IF(A2="East",1,0)</calculatedColumnFormula>
    </tableColumn>
    <tableColumn id="3" xr3:uid="{D3A686F2-DE1E-4AF5-99AF-43BC9451C9E2}" name="Region_North">
      <calculatedColumnFormula>IF(A2="North",1,0)</calculatedColumnFormula>
    </tableColumn>
    <tableColumn id="4" xr3:uid="{F014E6EC-7B3F-4709-8DB0-162A454198F6}" name="Region_South">
      <calculatedColumnFormula>IF(A2="South",1,0)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1"/>
  <sheetViews>
    <sheetView topLeftCell="F1" workbookViewId="0">
      <selection activeCell="O14" sqref="O14"/>
    </sheetView>
  </sheetViews>
  <sheetFormatPr defaultRowHeight="14.25"/>
  <cols>
    <col min="1" max="14" width="16" customWidth="1"/>
  </cols>
  <sheetData>
    <row r="1" spans="1:14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3" t="s">
        <v>14</v>
      </c>
      <c r="B2" s="5">
        <v>45658</v>
      </c>
      <c r="C2" s="3" t="s">
        <v>15</v>
      </c>
      <c r="D2" s="3" t="s">
        <v>16</v>
      </c>
      <c r="E2" s="3">
        <v>70389.11</v>
      </c>
      <c r="F2" s="3">
        <v>8302</v>
      </c>
      <c r="G2" s="3">
        <v>4.2000000000000003E-2</v>
      </c>
      <c r="H2" s="3">
        <v>17</v>
      </c>
      <c r="I2" s="3">
        <v>75</v>
      </c>
      <c r="J2" s="3">
        <v>5.28</v>
      </c>
      <c r="K2" s="3">
        <v>1</v>
      </c>
      <c r="L2" s="3">
        <v>3.1</v>
      </c>
      <c r="M2" s="3">
        <v>658832.62</v>
      </c>
      <c r="N2" s="3">
        <v>84349.93</v>
      </c>
    </row>
    <row r="3" spans="1:14">
      <c r="A3" s="3" t="s">
        <v>14</v>
      </c>
      <c r="B3" s="5">
        <v>45689</v>
      </c>
      <c r="C3" s="3" t="s">
        <v>15</v>
      </c>
      <c r="D3" s="3" t="s">
        <v>16</v>
      </c>
      <c r="E3" s="3">
        <v>43827.89</v>
      </c>
      <c r="F3" s="3">
        <v>8487</v>
      </c>
      <c r="G3" s="3">
        <v>0.16800000000000001</v>
      </c>
      <c r="H3" s="3">
        <v>23</v>
      </c>
      <c r="I3" s="3">
        <v>84.4</v>
      </c>
      <c r="J3" s="3">
        <v>4.3099999999999996</v>
      </c>
      <c r="K3" s="3">
        <v>0</v>
      </c>
      <c r="L3" s="3">
        <v>2.8</v>
      </c>
      <c r="M3" s="3">
        <v>634436</v>
      </c>
      <c r="N3" s="3">
        <v>106130.54</v>
      </c>
    </row>
    <row r="4" spans="1:14">
      <c r="A4" s="3" t="s">
        <v>14</v>
      </c>
      <c r="B4" s="5">
        <v>45717</v>
      </c>
      <c r="C4" s="3" t="s">
        <v>15</v>
      </c>
      <c r="D4" s="3" t="s">
        <v>16</v>
      </c>
      <c r="E4" s="3">
        <v>59921.75</v>
      </c>
      <c r="F4" s="3">
        <v>9113</v>
      </c>
      <c r="G4" s="3">
        <v>0.13300000000000001</v>
      </c>
      <c r="H4" s="3">
        <v>20</v>
      </c>
      <c r="I4" s="3">
        <v>88</v>
      </c>
      <c r="J4" s="3">
        <v>12</v>
      </c>
      <c r="K4" s="3">
        <v>0</v>
      </c>
      <c r="L4" s="3">
        <v>3.2</v>
      </c>
      <c r="M4" s="3">
        <v>678722.06</v>
      </c>
      <c r="N4" s="3">
        <v>101883.86</v>
      </c>
    </row>
    <row r="5" spans="1:14">
      <c r="A5" s="3" t="s">
        <v>14</v>
      </c>
      <c r="B5" s="5">
        <v>45748</v>
      </c>
      <c r="C5" s="3" t="s">
        <v>15</v>
      </c>
      <c r="D5" s="3" t="s">
        <v>16</v>
      </c>
      <c r="E5" s="3">
        <v>56856.63</v>
      </c>
      <c r="F5" s="3">
        <v>9431</v>
      </c>
      <c r="G5" s="3">
        <v>0.14199999999999999</v>
      </c>
      <c r="H5" s="3">
        <v>23</v>
      </c>
      <c r="I5" s="3">
        <v>86.9</v>
      </c>
      <c r="J5" s="3">
        <v>4.97</v>
      </c>
      <c r="K5" s="3">
        <v>0</v>
      </c>
      <c r="L5" s="3">
        <v>3.4</v>
      </c>
      <c r="M5" s="3">
        <v>658920.30000000005</v>
      </c>
      <c r="N5" s="3">
        <v>97910.37</v>
      </c>
    </row>
    <row r="6" spans="1:14">
      <c r="A6" s="3" t="s">
        <v>17</v>
      </c>
      <c r="B6" s="5">
        <v>45658</v>
      </c>
      <c r="C6" s="3" t="s">
        <v>15</v>
      </c>
      <c r="D6" s="3" t="s">
        <v>18</v>
      </c>
      <c r="E6" s="3">
        <v>48412.639999999999</v>
      </c>
      <c r="F6" s="3">
        <v>9545</v>
      </c>
      <c r="G6" s="3">
        <v>0.23100000000000001</v>
      </c>
      <c r="H6" s="3">
        <v>21</v>
      </c>
      <c r="I6" s="3">
        <v>97.6</v>
      </c>
      <c r="J6" s="3">
        <v>6.94</v>
      </c>
      <c r="K6" s="3">
        <v>1</v>
      </c>
      <c r="L6" s="3">
        <v>4.2</v>
      </c>
      <c r="M6" s="3">
        <v>741341.44</v>
      </c>
      <c r="N6" s="3">
        <v>119208.17</v>
      </c>
    </row>
    <row r="7" spans="1:14">
      <c r="A7" s="3" t="s">
        <v>17</v>
      </c>
      <c r="B7" s="5">
        <v>45689</v>
      </c>
      <c r="C7" s="3" t="s">
        <v>15</v>
      </c>
      <c r="D7" s="3" t="s">
        <v>18</v>
      </c>
      <c r="E7" s="3">
        <v>64811.21</v>
      </c>
      <c r="F7" s="3">
        <v>9792</v>
      </c>
      <c r="G7" s="3">
        <v>0.112</v>
      </c>
      <c r="H7" s="3">
        <v>20</v>
      </c>
      <c r="I7" s="3">
        <v>84.2</v>
      </c>
      <c r="J7" s="3">
        <v>2.88</v>
      </c>
      <c r="K7" s="3">
        <v>0</v>
      </c>
      <c r="L7" s="3">
        <v>4.2</v>
      </c>
      <c r="M7" s="3">
        <v>761835.34</v>
      </c>
      <c r="N7" s="3">
        <v>149602.23000000001</v>
      </c>
    </row>
    <row r="8" spans="1:14">
      <c r="A8" s="3" t="s">
        <v>17</v>
      </c>
      <c r="B8" s="5">
        <v>45717</v>
      </c>
      <c r="C8" s="3" t="s">
        <v>15</v>
      </c>
      <c r="D8" s="3" t="s">
        <v>18</v>
      </c>
      <c r="E8" s="3">
        <v>46213.45</v>
      </c>
      <c r="F8" s="3">
        <v>10616</v>
      </c>
      <c r="G8" s="3">
        <v>0.122</v>
      </c>
      <c r="H8" s="3">
        <v>22</v>
      </c>
      <c r="I8" s="3">
        <v>85.2</v>
      </c>
      <c r="J8" s="3">
        <v>0.2</v>
      </c>
      <c r="K8" s="3">
        <v>1</v>
      </c>
      <c r="L8" s="3">
        <v>4.0999999999999996</v>
      </c>
      <c r="M8" s="3">
        <v>806615.54</v>
      </c>
      <c r="N8" s="3">
        <v>131364.62</v>
      </c>
    </row>
    <row r="9" spans="1:14">
      <c r="A9" s="3" t="s">
        <v>17</v>
      </c>
      <c r="B9" s="5">
        <v>45748</v>
      </c>
      <c r="C9" s="3" t="s">
        <v>15</v>
      </c>
      <c r="D9" s="3" t="s">
        <v>18</v>
      </c>
      <c r="E9" s="3">
        <v>68148.52</v>
      </c>
      <c r="F9" s="3">
        <v>8567</v>
      </c>
      <c r="G9" s="3">
        <v>0.127</v>
      </c>
      <c r="H9" s="3">
        <v>23</v>
      </c>
      <c r="I9" s="3">
        <v>95.6</v>
      </c>
      <c r="J9" s="3">
        <v>0.8</v>
      </c>
      <c r="K9" s="3">
        <v>0</v>
      </c>
      <c r="L9" s="3">
        <v>3.9</v>
      </c>
      <c r="M9" s="3">
        <v>850164.26</v>
      </c>
      <c r="N9" s="3">
        <v>149262.75</v>
      </c>
    </row>
    <row r="10" spans="1:14">
      <c r="A10" s="3" t="s">
        <v>19</v>
      </c>
      <c r="B10" s="5">
        <v>45658</v>
      </c>
      <c r="C10" s="3" t="s">
        <v>20</v>
      </c>
      <c r="D10" s="3" t="s">
        <v>21</v>
      </c>
      <c r="E10" s="3">
        <v>71838.86</v>
      </c>
      <c r="F10" s="3">
        <v>10979</v>
      </c>
      <c r="G10" s="3">
        <v>0.215</v>
      </c>
      <c r="H10" s="3">
        <v>26</v>
      </c>
      <c r="I10" s="3">
        <v>88.6</v>
      </c>
      <c r="J10" s="3">
        <v>7.7</v>
      </c>
      <c r="K10" s="3">
        <v>1</v>
      </c>
      <c r="L10" s="3">
        <v>3.8</v>
      </c>
      <c r="M10" s="3">
        <v>930581.7</v>
      </c>
      <c r="N10" s="3">
        <v>136207.98000000001</v>
      </c>
    </row>
    <row r="11" spans="1:14">
      <c r="A11" s="3" t="s">
        <v>19</v>
      </c>
      <c r="B11" s="5">
        <v>45689</v>
      </c>
      <c r="C11" s="3" t="s">
        <v>20</v>
      </c>
      <c r="D11" s="3" t="s">
        <v>21</v>
      </c>
      <c r="E11" s="3">
        <v>68133.440000000002</v>
      </c>
      <c r="F11" s="3">
        <v>9459</v>
      </c>
      <c r="G11" s="3">
        <v>0.22</v>
      </c>
      <c r="H11" s="3">
        <v>21</v>
      </c>
      <c r="I11" s="3">
        <v>85</v>
      </c>
      <c r="J11" s="3">
        <v>1.91</v>
      </c>
      <c r="K11" s="3">
        <v>0</v>
      </c>
      <c r="L11" s="3">
        <v>4.2</v>
      </c>
      <c r="M11" s="3">
        <v>779010.94</v>
      </c>
      <c r="N11" s="3">
        <v>106328.09</v>
      </c>
    </row>
    <row r="12" spans="1:14">
      <c r="A12" s="3" t="s">
        <v>19</v>
      </c>
      <c r="B12" s="5">
        <v>45717</v>
      </c>
      <c r="C12" s="3" t="s">
        <v>20</v>
      </c>
      <c r="D12" s="3" t="s">
        <v>21</v>
      </c>
      <c r="E12" s="3">
        <v>34285.21</v>
      </c>
      <c r="F12" s="3">
        <v>9172</v>
      </c>
      <c r="G12" s="3">
        <v>0.21299999999999999</v>
      </c>
      <c r="H12" s="3">
        <v>22</v>
      </c>
      <c r="I12" s="3">
        <v>88.3</v>
      </c>
      <c r="J12" s="3">
        <v>10.46</v>
      </c>
      <c r="K12" s="3">
        <v>1</v>
      </c>
      <c r="L12" s="3">
        <v>3.8</v>
      </c>
      <c r="M12" s="3">
        <v>723060.76</v>
      </c>
      <c r="N12" s="3">
        <v>123131.24</v>
      </c>
    </row>
    <row r="13" spans="1:14">
      <c r="A13" s="3" t="s">
        <v>19</v>
      </c>
      <c r="B13" s="5">
        <v>45748</v>
      </c>
      <c r="C13" s="3" t="s">
        <v>20</v>
      </c>
      <c r="D13" s="3" t="s">
        <v>21</v>
      </c>
      <c r="E13" s="3">
        <v>67979.88</v>
      </c>
      <c r="F13" s="3">
        <v>11230</v>
      </c>
      <c r="G13" s="3">
        <v>2E-3</v>
      </c>
      <c r="H13" s="3">
        <v>28</v>
      </c>
      <c r="I13" s="3">
        <v>85.3</v>
      </c>
      <c r="J13" s="3">
        <v>7.16</v>
      </c>
      <c r="K13" s="3">
        <v>0</v>
      </c>
      <c r="L13" s="3">
        <v>3.8</v>
      </c>
      <c r="M13" s="3">
        <v>910791.94</v>
      </c>
      <c r="N13" s="3">
        <v>158891.28</v>
      </c>
    </row>
    <row r="14" spans="1:14">
      <c r="A14" s="3" t="s">
        <v>22</v>
      </c>
      <c r="B14" s="5">
        <v>45658</v>
      </c>
      <c r="C14" s="3" t="s">
        <v>15</v>
      </c>
      <c r="D14" s="3" t="s">
        <v>16</v>
      </c>
      <c r="E14" s="3">
        <v>71828.259999999995</v>
      </c>
      <c r="F14" s="3">
        <v>12775</v>
      </c>
      <c r="G14" s="3">
        <v>0.11600000000000001</v>
      </c>
      <c r="H14" s="3">
        <v>30</v>
      </c>
      <c r="I14" s="3">
        <v>81.7</v>
      </c>
      <c r="J14" s="3">
        <v>4.24</v>
      </c>
      <c r="K14" s="3">
        <v>1</v>
      </c>
      <c r="L14" s="3">
        <v>4.2</v>
      </c>
      <c r="M14" s="3">
        <v>922168.6</v>
      </c>
      <c r="N14" s="3">
        <v>107494.53</v>
      </c>
    </row>
    <row r="15" spans="1:14">
      <c r="A15" s="3" t="s">
        <v>22</v>
      </c>
      <c r="B15" s="5">
        <v>45689</v>
      </c>
      <c r="C15" s="3" t="s">
        <v>15</v>
      </c>
      <c r="D15" s="3" t="s">
        <v>16</v>
      </c>
      <c r="E15" s="3">
        <v>55716.82</v>
      </c>
      <c r="F15" s="3">
        <v>10054</v>
      </c>
      <c r="G15" s="3">
        <v>0.14599999999999999</v>
      </c>
      <c r="H15" s="3">
        <v>24</v>
      </c>
      <c r="I15" s="3">
        <v>84.9</v>
      </c>
      <c r="J15" s="3">
        <v>1.06</v>
      </c>
      <c r="K15" s="3">
        <v>0</v>
      </c>
      <c r="L15" s="3">
        <v>4.3</v>
      </c>
      <c r="M15" s="3">
        <v>726606.28</v>
      </c>
      <c r="N15" s="3">
        <v>122729.29</v>
      </c>
    </row>
    <row r="16" spans="1:14">
      <c r="A16" s="3" t="s">
        <v>22</v>
      </c>
      <c r="B16" s="5">
        <v>45717</v>
      </c>
      <c r="C16" s="3" t="s">
        <v>15</v>
      </c>
      <c r="D16" s="3" t="s">
        <v>16</v>
      </c>
      <c r="E16" s="3">
        <v>59909.51</v>
      </c>
      <c r="F16" s="3">
        <v>8895</v>
      </c>
      <c r="G16" s="3">
        <v>0.22800000000000001</v>
      </c>
      <c r="H16" s="3">
        <v>23</v>
      </c>
      <c r="I16" s="3">
        <v>88.8</v>
      </c>
      <c r="J16" s="3">
        <v>0.27</v>
      </c>
      <c r="K16" s="3">
        <v>0</v>
      </c>
      <c r="L16" s="3">
        <v>4.3</v>
      </c>
      <c r="M16" s="3">
        <v>746501.09</v>
      </c>
      <c r="N16" s="3">
        <v>136816.72</v>
      </c>
    </row>
    <row r="17" spans="1:14">
      <c r="A17" s="3" t="s">
        <v>22</v>
      </c>
      <c r="B17" s="5">
        <v>45748</v>
      </c>
      <c r="C17" s="3" t="s">
        <v>15</v>
      </c>
      <c r="D17" s="3" t="s">
        <v>16</v>
      </c>
      <c r="E17" s="3">
        <v>75305.710000000006</v>
      </c>
      <c r="F17" s="3">
        <v>10940</v>
      </c>
      <c r="G17" s="3">
        <v>6.0000000000000001E-3</v>
      </c>
      <c r="H17" s="3">
        <v>26</v>
      </c>
      <c r="I17" s="3">
        <v>76.5</v>
      </c>
      <c r="J17" s="3">
        <v>1.32</v>
      </c>
      <c r="K17" s="3">
        <v>0</v>
      </c>
      <c r="L17" s="3">
        <v>4.5</v>
      </c>
      <c r="M17" s="3">
        <v>834017.02</v>
      </c>
      <c r="N17" s="3">
        <v>114745.03</v>
      </c>
    </row>
    <row r="18" spans="1:14">
      <c r="A18" s="3" t="s">
        <v>23</v>
      </c>
      <c r="B18" s="5">
        <v>45658</v>
      </c>
      <c r="C18" s="3" t="s">
        <v>24</v>
      </c>
      <c r="D18" s="3" t="s">
        <v>16</v>
      </c>
      <c r="E18" s="3">
        <v>48804.22</v>
      </c>
      <c r="F18" s="3">
        <v>7057</v>
      </c>
      <c r="G18" s="3">
        <v>5.0000000000000001E-3</v>
      </c>
      <c r="H18" s="3">
        <v>15</v>
      </c>
      <c r="I18" s="3">
        <v>87.7</v>
      </c>
      <c r="J18" s="3">
        <v>1.22</v>
      </c>
      <c r="K18" s="3">
        <v>0</v>
      </c>
      <c r="L18" s="3">
        <v>3.7</v>
      </c>
      <c r="M18" s="3">
        <v>666152.52</v>
      </c>
      <c r="N18" s="3">
        <v>107490.58</v>
      </c>
    </row>
    <row r="19" spans="1:14">
      <c r="A19" s="3" t="s">
        <v>23</v>
      </c>
      <c r="B19" s="5">
        <v>45689</v>
      </c>
      <c r="C19" s="3" t="s">
        <v>24</v>
      </c>
      <c r="D19" s="3" t="s">
        <v>16</v>
      </c>
      <c r="E19" s="3">
        <v>59117.9</v>
      </c>
      <c r="F19" s="3">
        <v>4263</v>
      </c>
      <c r="G19" s="3">
        <v>0.11899999999999999</v>
      </c>
      <c r="H19" s="3">
        <v>9</v>
      </c>
      <c r="I19" s="3">
        <v>87.6</v>
      </c>
      <c r="J19" s="3">
        <v>4.01</v>
      </c>
      <c r="K19" s="3">
        <v>0</v>
      </c>
      <c r="L19" s="3">
        <v>3.6</v>
      </c>
      <c r="M19" s="3">
        <v>573155.18999999994</v>
      </c>
      <c r="N19" s="3">
        <v>83680.75</v>
      </c>
    </row>
    <row r="20" spans="1:14">
      <c r="A20" s="3" t="s">
        <v>23</v>
      </c>
      <c r="B20" s="5">
        <v>45717</v>
      </c>
      <c r="C20" s="3" t="s">
        <v>24</v>
      </c>
      <c r="D20" s="3" t="s">
        <v>16</v>
      </c>
      <c r="E20" s="3">
        <v>78831.12</v>
      </c>
      <c r="F20" s="3">
        <v>5538</v>
      </c>
      <c r="G20" s="3">
        <v>0</v>
      </c>
      <c r="H20" s="3">
        <v>15</v>
      </c>
      <c r="I20" s="3">
        <v>94.1</v>
      </c>
      <c r="J20" s="3">
        <v>0.2</v>
      </c>
      <c r="K20" s="3">
        <v>0</v>
      </c>
      <c r="L20" s="3">
        <v>3.9</v>
      </c>
      <c r="M20" s="3">
        <v>666573.19999999995</v>
      </c>
      <c r="N20" s="3">
        <v>140641.01999999999</v>
      </c>
    </row>
    <row r="21" spans="1:14">
      <c r="A21" s="3" t="s">
        <v>23</v>
      </c>
      <c r="B21" s="5">
        <v>45748</v>
      </c>
      <c r="C21" s="3" t="s">
        <v>24</v>
      </c>
      <c r="D21" s="3" t="s">
        <v>16</v>
      </c>
      <c r="E21" s="3">
        <v>41441.93</v>
      </c>
      <c r="F21" s="3">
        <v>4865</v>
      </c>
      <c r="G21" s="3">
        <v>0.158</v>
      </c>
      <c r="H21" s="3">
        <v>16</v>
      </c>
      <c r="I21" s="3">
        <v>88.3</v>
      </c>
      <c r="J21" s="3">
        <v>0.5</v>
      </c>
      <c r="K21" s="3">
        <v>0</v>
      </c>
      <c r="L21" s="3">
        <v>4</v>
      </c>
      <c r="M21" s="3">
        <v>591619.94999999995</v>
      </c>
      <c r="N21" s="3">
        <v>99521.35</v>
      </c>
    </row>
    <row r="22" spans="1:14">
      <c r="A22" s="3" t="s">
        <v>25</v>
      </c>
      <c r="B22" s="5">
        <v>45658</v>
      </c>
      <c r="C22" s="3" t="s">
        <v>20</v>
      </c>
      <c r="D22" s="3" t="s">
        <v>16</v>
      </c>
      <c r="E22" s="3">
        <v>30356.28</v>
      </c>
      <c r="F22" s="3">
        <v>2822</v>
      </c>
      <c r="G22" s="3">
        <v>0.23100000000000001</v>
      </c>
      <c r="H22" s="3">
        <v>9</v>
      </c>
      <c r="I22" s="3">
        <v>84.8</v>
      </c>
      <c r="J22" s="3">
        <v>6.95</v>
      </c>
      <c r="K22" s="3">
        <v>0</v>
      </c>
      <c r="L22" s="3">
        <v>5</v>
      </c>
      <c r="M22" s="3">
        <v>415721.82</v>
      </c>
      <c r="N22" s="3">
        <v>61179.15</v>
      </c>
    </row>
    <row r="23" spans="1:14">
      <c r="A23" s="3" t="s">
        <v>25</v>
      </c>
      <c r="B23" s="5">
        <v>45689</v>
      </c>
      <c r="C23" s="3" t="s">
        <v>20</v>
      </c>
      <c r="D23" s="3" t="s">
        <v>16</v>
      </c>
      <c r="E23" s="3">
        <v>33518.879999999997</v>
      </c>
      <c r="F23" s="3">
        <v>2121</v>
      </c>
      <c r="G23" s="3">
        <v>0.17599999999999999</v>
      </c>
      <c r="H23" s="3">
        <v>8</v>
      </c>
      <c r="I23" s="3">
        <v>88.5</v>
      </c>
      <c r="J23" s="3">
        <v>0.2</v>
      </c>
      <c r="K23" s="3">
        <v>0</v>
      </c>
      <c r="L23" s="3">
        <v>5</v>
      </c>
      <c r="M23" s="3">
        <v>491905.13</v>
      </c>
      <c r="N23" s="3">
        <v>79212.259999999995</v>
      </c>
    </row>
    <row r="24" spans="1:14">
      <c r="A24" s="3" t="s">
        <v>25</v>
      </c>
      <c r="B24" s="5">
        <v>45717</v>
      </c>
      <c r="C24" s="3" t="s">
        <v>20</v>
      </c>
      <c r="D24" s="3" t="s">
        <v>16</v>
      </c>
      <c r="E24" s="3">
        <v>42267.37</v>
      </c>
      <c r="F24" s="3">
        <v>3364</v>
      </c>
      <c r="G24" s="3">
        <v>0.16</v>
      </c>
      <c r="H24" s="3">
        <v>13</v>
      </c>
      <c r="I24" s="3">
        <v>82</v>
      </c>
      <c r="J24" s="3">
        <v>1.61</v>
      </c>
      <c r="K24" s="3">
        <v>1</v>
      </c>
      <c r="L24" s="3">
        <v>4.5999999999999996</v>
      </c>
      <c r="M24" s="3">
        <v>555929.4</v>
      </c>
      <c r="N24" s="3">
        <v>115201.76</v>
      </c>
    </row>
    <row r="25" spans="1:14">
      <c r="A25" s="3" t="s">
        <v>25</v>
      </c>
      <c r="B25" s="5">
        <v>45748</v>
      </c>
      <c r="C25" s="3" t="s">
        <v>20</v>
      </c>
      <c r="D25" s="3" t="s">
        <v>16</v>
      </c>
      <c r="E25" s="3">
        <v>62060.43</v>
      </c>
      <c r="F25" s="3">
        <v>2613</v>
      </c>
      <c r="G25" s="3">
        <v>0.216</v>
      </c>
      <c r="H25" s="3">
        <v>12</v>
      </c>
      <c r="I25" s="3">
        <v>92.1</v>
      </c>
      <c r="J25" s="3">
        <v>1.55</v>
      </c>
      <c r="K25" s="3">
        <v>0</v>
      </c>
      <c r="L25" s="3">
        <v>4.7</v>
      </c>
      <c r="M25" s="3">
        <v>565810.99</v>
      </c>
      <c r="N25" s="3">
        <v>77825.460000000006</v>
      </c>
    </row>
    <row r="26" spans="1:14">
      <c r="A26" s="3" t="s">
        <v>26</v>
      </c>
      <c r="B26" s="5">
        <v>45658</v>
      </c>
      <c r="C26" s="3" t="s">
        <v>27</v>
      </c>
      <c r="D26" s="3" t="s">
        <v>28</v>
      </c>
      <c r="E26" s="3">
        <v>57696.69</v>
      </c>
      <c r="F26" s="3">
        <v>10218</v>
      </c>
      <c r="G26" s="3">
        <v>0.121</v>
      </c>
      <c r="H26" s="3">
        <v>25</v>
      </c>
      <c r="I26" s="3">
        <v>94.8</v>
      </c>
      <c r="J26" s="3">
        <v>2.99</v>
      </c>
      <c r="K26" s="3">
        <v>0</v>
      </c>
      <c r="L26" s="3">
        <v>3.5</v>
      </c>
      <c r="M26" s="3">
        <v>811771.14</v>
      </c>
      <c r="N26" s="3">
        <v>148756.24</v>
      </c>
    </row>
    <row r="27" spans="1:14">
      <c r="A27" s="3" t="s">
        <v>26</v>
      </c>
      <c r="B27" s="5">
        <v>45689</v>
      </c>
      <c r="C27" s="3" t="s">
        <v>27</v>
      </c>
      <c r="D27" s="3" t="s">
        <v>28</v>
      </c>
      <c r="E27" s="3">
        <v>172415.52</v>
      </c>
      <c r="F27" s="3">
        <v>8927</v>
      </c>
      <c r="G27" s="3">
        <v>0.14000000000000001</v>
      </c>
      <c r="H27" s="3">
        <v>22</v>
      </c>
      <c r="I27" s="3">
        <v>86.2</v>
      </c>
      <c r="J27" s="3">
        <v>7.04</v>
      </c>
      <c r="K27" s="3">
        <v>0</v>
      </c>
      <c r="L27" s="3">
        <v>3.9</v>
      </c>
      <c r="M27" s="3">
        <v>800451.94</v>
      </c>
      <c r="N27" s="3">
        <v>111572.29</v>
      </c>
    </row>
    <row r="28" spans="1:14">
      <c r="A28" s="3" t="s">
        <v>26</v>
      </c>
      <c r="B28" s="5">
        <v>45717</v>
      </c>
      <c r="C28" s="3" t="s">
        <v>27</v>
      </c>
      <c r="D28" s="3" t="s">
        <v>28</v>
      </c>
      <c r="E28" s="3">
        <v>55270.52</v>
      </c>
      <c r="F28" s="3">
        <v>9315</v>
      </c>
      <c r="G28" s="3">
        <v>0.16900000000000001</v>
      </c>
      <c r="H28" s="3">
        <v>23</v>
      </c>
      <c r="I28" s="3">
        <v>91.9</v>
      </c>
      <c r="J28" s="3">
        <v>4.9400000000000004</v>
      </c>
      <c r="K28" s="3">
        <v>0</v>
      </c>
      <c r="L28" s="3">
        <v>4</v>
      </c>
      <c r="M28" s="3">
        <v>783672.82</v>
      </c>
      <c r="N28" s="3">
        <v>112577.14</v>
      </c>
    </row>
    <row r="29" spans="1:14">
      <c r="A29" s="3" t="s">
        <v>26</v>
      </c>
      <c r="B29" s="5">
        <v>45748</v>
      </c>
      <c r="C29" s="3" t="s">
        <v>27</v>
      </c>
      <c r="D29" s="3" t="s">
        <v>28</v>
      </c>
      <c r="E29" s="3">
        <v>52715.1</v>
      </c>
      <c r="F29" s="3">
        <v>7223</v>
      </c>
      <c r="G29" s="3">
        <v>0.122</v>
      </c>
      <c r="H29" s="3">
        <v>16</v>
      </c>
      <c r="I29" s="3">
        <v>84.2</v>
      </c>
      <c r="J29" s="3">
        <v>16.149999999999999</v>
      </c>
      <c r="K29" s="3">
        <v>0</v>
      </c>
      <c r="L29" s="3">
        <v>3.7</v>
      </c>
      <c r="M29" s="3">
        <v>701641.97</v>
      </c>
      <c r="N29" s="3">
        <v>106111.86</v>
      </c>
    </row>
    <row r="30" spans="1:14">
      <c r="A30" s="3" t="s">
        <v>29</v>
      </c>
      <c r="B30" s="5">
        <v>45658</v>
      </c>
      <c r="C30" s="3" t="s">
        <v>15</v>
      </c>
      <c r="D30" s="3" t="s">
        <v>16</v>
      </c>
      <c r="E30" s="3">
        <v>68600.62</v>
      </c>
      <c r="F30" s="3">
        <v>3988</v>
      </c>
      <c r="G30" s="3">
        <v>0.124</v>
      </c>
      <c r="H30" s="3">
        <v>11</v>
      </c>
      <c r="I30" s="3">
        <v>85</v>
      </c>
      <c r="J30" s="3">
        <v>0.48</v>
      </c>
      <c r="K30" s="3">
        <v>0</v>
      </c>
      <c r="L30" s="3">
        <v>3.6</v>
      </c>
      <c r="M30" s="3">
        <v>511844.41</v>
      </c>
      <c r="N30" s="3">
        <v>72774.44</v>
      </c>
    </row>
    <row r="31" spans="1:14">
      <c r="A31" s="3" t="s">
        <v>29</v>
      </c>
      <c r="B31" s="5">
        <v>45689</v>
      </c>
      <c r="C31" s="3" t="s">
        <v>15</v>
      </c>
      <c r="D31" s="3" t="s">
        <v>16</v>
      </c>
      <c r="E31" s="3">
        <v>63176.73</v>
      </c>
      <c r="F31" s="3">
        <v>2390</v>
      </c>
      <c r="G31" s="3">
        <v>0.216</v>
      </c>
      <c r="H31" s="3">
        <v>9</v>
      </c>
      <c r="I31" s="3">
        <v>87.5</v>
      </c>
      <c r="J31" s="3">
        <v>0.31</v>
      </c>
      <c r="K31" s="3">
        <v>0</v>
      </c>
      <c r="L31" s="3">
        <v>3.1</v>
      </c>
      <c r="M31" s="3">
        <v>537383.79</v>
      </c>
      <c r="N31" s="3">
        <v>63773.27</v>
      </c>
    </row>
    <row r="32" spans="1:14">
      <c r="A32" s="3" t="s">
        <v>29</v>
      </c>
      <c r="B32" s="5">
        <v>45717</v>
      </c>
      <c r="C32" s="3" t="s">
        <v>15</v>
      </c>
      <c r="D32" s="3" t="s">
        <v>16</v>
      </c>
      <c r="E32" s="3">
        <v>44970.080000000002</v>
      </c>
      <c r="F32" s="3">
        <v>2471</v>
      </c>
      <c r="G32" s="3">
        <v>0.13600000000000001</v>
      </c>
      <c r="H32" s="3">
        <v>11</v>
      </c>
      <c r="I32" s="3">
        <v>87.6</v>
      </c>
      <c r="J32" s="3">
        <v>3.01</v>
      </c>
      <c r="K32" s="3">
        <v>1</v>
      </c>
      <c r="L32" s="3">
        <v>3.7</v>
      </c>
      <c r="M32" s="3">
        <v>500173.02</v>
      </c>
      <c r="N32" s="3">
        <v>70982.05</v>
      </c>
    </row>
    <row r="33" spans="1:14">
      <c r="A33" s="3" t="s">
        <v>29</v>
      </c>
      <c r="B33" s="5">
        <v>45748</v>
      </c>
      <c r="C33" s="3" t="s">
        <v>15</v>
      </c>
      <c r="D33" s="3" t="s">
        <v>16</v>
      </c>
      <c r="E33" s="3">
        <v>69816.350000000006</v>
      </c>
      <c r="F33" s="3">
        <v>971</v>
      </c>
      <c r="G33" s="3">
        <v>0.16800000000000001</v>
      </c>
      <c r="H33" s="3">
        <v>5</v>
      </c>
      <c r="I33" s="3">
        <v>89.9</v>
      </c>
      <c r="J33" s="3">
        <v>12.15</v>
      </c>
      <c r="K33" s="3">
        <v>0</v>
      </c>
      <c r="L33" s="3">
        <v>3.6</v>
      </c>
      <c r="M33" s="3">
        <v>427917.38</v>
      </c>
      <c r="N33" s="3">
        <v>81824.31</v>
      </c>
    </row>
    <row r="34" spans="1:14">
      <c r="A34" s="3" t="s">
        <v>30</v>
      </c>
      <c r="B34" s="5">
        <v>45658</v>
      </c>
      <c r="C34" s="3" t="s">
        <v>20</v>
      </c>
      <c r="D34" s="3" t="s">
        <v>16</v>
      </c>
      <c r="E34" s="3">
        <v>54597.83</v>
      </c>
      <c r="F34" s="3">
        <v>9429</v>
      </c>
      <c r="G34" s="3">
        <v>0.188</v>
      </c>
      <c r="H34" s="3">
        <v>21</v>
      </c>
      <c r="I34" s="3">
        <v>83.3</v>
      </c>
      <c r="J34" s="3">
        <v>11.71</v>
      </c>
      <c r="K34" s="3">
        <v>0</v>
      </c>
      <c r="L34" s="3">
        <v>4.2</v>
      </c>
      <c r="M34" s="3">
        <v>641865.03</v>
      </c>
      <c r="N34" s="3">
        <v>81342.58</v>
      </c>
    </row>
    <row r="35" spans="1:14">
      <c r="A35" s="3" t="s">
        <v>30</v>
      </c>
      <c r="B35" s="5">
        <v>45689</v>
      </c>
      <c r="C35" s="3" t="s">
        <v>20</v>
      </c>
      <c r="D35" s="3" t="s">
        <v>16</v>
      </c>
      <c r="E35" s="3">
        <v>73771.91</v>
      </c>
      <c r="F35" s="3">
        <v>11695</v>
      </c>
      <c r="G35" s="3">
        <v>7.0000000000000007E-2</v>
      </c>
      <c r="H35" s="3">
        <v>25</v>
      </c>
      <c r="I35" s="3">
        <v>84.7</v>
      </c>
      <c r="J35" s="3">
        <v>0.62</v>
      </c>
      <c r="K35" s="3">
        <v>0</v>
      </c>
      <c r="L35" s="3"/>
      <c r="M35" s="3">
        <v>799477.76000000001</v>
      </c>
      <c r="N35" s="3">
        <v>164974.41</v>
      </c>
    </row>
    <row r="36" spans="1:14">
      <c r="A36" s="3" t="s">
        <v>30</v>
      </c>
      <c r="B36" s="5">
        <v>45717</v>
      </c>
      <c r="C36" s="3" t="s">
        <v>20</v>
      </c>
      <c r="D36" s="3" t="s">
        <v>16</v>
      </c>
      <c r="E36" s="3">
        <v>74413.88</v>
      </c>
      <c r="F36" s="3">
        <v>9449</v>
      </c>
      <c r="G36" s="3">
        <v>3.9E-2</v>
      </c>
      <c r="H36" s="3">
        <v>23</v>
      </c>
      <c r="I36" s="3">
        <v>92.1</v>
      </c>
      <c r="J36" s="3">
        <v>2.12</v>
      </c>
      <c r="K36" s="3">
        <v>0</v>
      </c>
      <c r="L36" s="3">
        <v>3.5</v>
      </c>
      <c r="M36" s="3">
        <v>798952.17</v>
      </c>
      <c r="N36" s="3">
        <v>161499.04</v>
      </c>
    </row>
    <row r="37" spans="1:14">
      <c r="A37" s="3" t="s">
        <v>30</v>
      </c>
      <c r="B37" s="5">
        <v>45748</v>
      </c>
      <c r="C37" s="3" t="s">
        <v>20</v>
      </c>
      <c r="D37" s="3" t="s">
        <v>16</v>
      </c>
      <c r="E37" s="3">
        <v>52483.77</v>
      </c>
      <c r="F37" s="3">
        <v>10453</v>
      </c>
      <c r="G37" s="3">
        <v>0.247</v>
      </c>
      <c r="H37" s="3">
        <v>25</v>
      </c>
      <c r="I37" s="3">
        <v>99</v>
      </c>
      <c r="J37" s="3">
        <v>6.31</v>
      </c>
      <c r="K37" s="3">
        <v>0</v>
      </c>
      <c r="L37" s="3">
        <v>3.6</v>
      </c>
      <c r="M37" s="3">
        <v>800979.78</v>
      </c>
      <c r="N37" s="3">
        <v>149242.26999999999</v>
      </c>
    </row>
    <row r="38" spans="1:14">
      <c r="A38" s="3" t="s">
        <v>31</v>
      </c>
      <c r="B38" s="5">
        <v>45658</v>
      </c>
      <c r="C38" s="3" t="s">
        <v>20</v>
      </c>
      <c r="D38" s="3" t="s">
        <v>28</v>
      </c>
      <c r="E38" s="3">
        <v>75269.87</v>
      </c>
      <c r="F38" s="3">
        <v>8838</v>
      </c>
      <c r="G38" s="3">
        <v>9.1999999999999998E-2</v>
      </c>
      <c r="H38" s="3">
        <v>21</v>
      </c>
      <c r="I38" s="3">
        <v>83.1</v>
      </c>
      <c r="J38" s="3">
        <v>9.56</v>
      </c>
      <c r="K38" s="3">
        <v>1</v>
      </c>
      <c r="L38" s="3">
        <v>4.2</v>
      </c>
      <c r="M38" s="3">
        <v>820593.93</v>
      </c>
      <c r="N38" s="3">
        <v>115860.06</v>
      </c>
    </row>
    <row r="39" spans="1:14">
      <c r="A39" s="3" t="s">
        <v>31</v>
      </c>
      <c r="B39" s="5">
        <v>45689</v>
      </c>
      <c r="C39" s="3" t="s">
        <v>20</v>
      </c>
      <c r="D39" s="3" t="s">
        <v>28</v>
      </c>
      <c r="E39" s="3">
        <v>61245.41</v>
      </c>
      <c r="F39" s="3">
        <v>8156</v>
      </c>
      <c r="G39" s="3">
        <v>0.156</v>
      </c>
      <c r="H39" s="3">
        <v>19</v>
      </c>
      <c r="I39" s="3">
        <v>92.9</v>
      </c>
      <c r="J39" s="3">
        <v>9.0500000000000007</v>
      </c>
      <c r="K39" s="3">
        <v>0</v>
      </c>
      <c r="L39" s="3">
        <v>3.8</v>
      </c>
      <c r="M39" s="3">
        <v>718330.53</v>
      </c>
      <c r="N39" s="3">
        <v>93247.9</v>
      </c>
    </row>
    <row r="40" spans="1:14">
      <c r="A40" s="3" t="s">
        <v>31</v>
      </c>
      <c r="B40" s="5">
        <v>45717</v>
      </c>
      <c r="C40" s="3" t="s">
        <v>20</v>
      </c>
      <c r="D40" s="3" t="s">
        <v>28</v>
      </c>
      <c r="E40" s="3">
        <v>93381.26</v>
      </c>
      <c r="F40" s="3">
        <v>7562</v>
      </c>
      <c r="G40" s="3">
        <v>0.19800000000000001</v>
      </c>
      <c r="H40" s="3">
        <v>19</v>
      </c>
      <c r="I40" s="3">
        <v>82.9</v>
      </c>
      <c r="J40" s="3">
        <v>5.05</v>
      </c>
      <c r="K40" s="3">
        <v>0</v>
      </c>
      <c r="L40" s="3">
        <v>4</v>
      </c>
      <c r="M40" s="3">
        <v>736633.4</v>
      </c>
      <c r="N40" s="3">
        <v>115654.66</v>
      </c>
    </row>
    <row r="41" spans="1:14">
      <c r="A41" s="3" t="s">
        <v>31</v>
      </c>
      <c r="B41" s="5">
        <v>45748</v>
      </c>
      <c r="C41" s="3" t="s">
        <v>20</v>
      </c>
      <c r="D41" s="3" t="s">
        <v>28</v>
      </c>
      <c r="E41" s="3">
        <v>65012.19</v>
      </c>
      <c r="F41" s="3">
        <v>9598</v>
      </c>
      <c r="G41" s="3">
        <v>8.5000000000000006E-2</v>
      </c>
      <c r="H41" s="3">
        <v>24</v>
      </c>
      <c r="I41" s="3">
        <v>98.3</v>
      </c>
      <c r="J41" s="3">
        <v>0.89</v>
      </c>
      <c r="K41" s="3">
        <v>0</v>
      </c>
      <c r="L41" s="3">
        <v>3.8</v>
      </c>
      <c r="M41" s="3">
        <v>828623.85</v>
      </c>
      <c r="N41" s="3">
        <v>167320.51999999999</v>
      </c>
    </row>
    <row r="42" spans="1:14">
      <c r="A42" s="3" t="s">
        <v>32</v>
      </c>
      <c r="B42" s="5">
        <v>45658</v>
      </c>
      <c r="C42" s="3" t="s">
        <v>15</v>
      </c>
      <c r="D42" s="3" t="s">
        <v>28</v>
      </c>
      <c r="E42" s="3">
        <v>40462.94</v>
      </c>
      <c r="F42" s="3">
        <v>3660</v>
      </c>
      <c r="G42" s="3">
        <v>0.218</v>
      </c>
      <c r="H42" s="3">
        <v>11</v>
      </c>
      <c r="I42" s="3">
        <v>95.2</v>
      </c>
      <c r="J42" s="3">
        <v>5.57</v>
      </c>
      <c r="K42" s="3">
        <v>0</v>
      </c>
      <c r="L42" s="3">
        <v>4.4000000000000004</v>
      </c>
      <c r="M42" s="3">
        <v>592195.85</v>
      </c>
      <c r="N42" s="3">
        <v>92291.56</v>
      </c>
    </row>
    <row r="43" spans="1:14">
      <c r="A43" s="3" t="s">
        <v>32</v>
      </c>
      <c r="B43" s="5">
        <v>45689</v>
      </c>
      <c r="C43" s="3" t="s">
        <v>15</v>
      </c>
      <c r="D43" s="3" t="s">
        <v>28</v>
      </c>
      <c r="E43" s="3">
        <v>46123.88</v>
      </c>
      <c r="F43" s="3">
        <v>3227</v>
      </c>
      <c r="G43" s="3">
        <v>0.14299999999999999</v>
      </c>
      <c r="H43" s="3">
        <v>10</v>
      </c>
      <c r="I43" s="3">
        <v>75.400000000000006</v>
      </c>
      <c r="J43" s="3">
        <v>1.06</v>
      </c>
      <c r="K43" s="3">
        <v>0</v>
      </c>
      <c r="L43" s="3">
        <v>4.4000000000000004</v>
      </c>
      <c r="M43" s="3">
        <v>532644.46</v>
      </c>
      <c r="N43" s="3">
        <v>60681.32</v>
      </c>
    </row>
    <row r="44" spans="1:14">
      <c r="A44" s="3" t="s">
        <v>32</v>
      </c>
      <c r="B44" s="5">
        <v>45717</v>
      </c>
      <c r="C44" s="3" t="s">
        <v>15</v>
      </c>
      <c r="D44" s="3" t="s">
        <v>28</v>
      </c>
      <c r="E44" s="3">
        <v>68077.539999999994</v>
      </c>
      <c r="F44" s="3">
        <v>3360</v>
      </c>
      <c r="G44" s="3">
        <v>0.128</v>
      </c>
      <c r="H44" s="3">
        <v>14</v>
      </c>
      <c r="I44" s="3">
        <v>88.2</v>
      </c>
      <c r="J44" s="3">
        <v>1.24</v>
      </c>
      <c r="K44" s="3">
        <v>1</v>
      </c>
      <c r="L44" s="3">
        <v>4</v>
      </c>
      <c r="M44" s="3">
        <v>657429.18000000005</v>
      </c>
      <c r="N44" s="3">
        <v>88919.74</v>
      </c>
    </row>
    <row r="45" spans="1:14">
      <c r="A45" s="3" t="s">
        <v>32</v>
      </c>
      <c r="B45" s="5">
        <v>45748</v>
      </c>
      <c r="C45" s="3" t="s">
        <v>15</v>
      </c>
      <c r="D45" s="3" t="s">
        <v>28</v>
      </c>
      <c r="E45" s="3">
        <v>64882.14</v>
      </c>
      <c r="F45" s="3">
        <v>3642</v>
      </c>
      <c r="G45" s="3">
        <v>1.9E-2</v>
      </c>
      <c r="H45" s="3">
        <v>13</v>
      </c>
      <c r="I45" s="3">
        <v>87.8</v>
      </c>
      <c r="J45" s="3">
        <v>4.5199999999999996</v>
      </c>
      <c r="K45" s="3">
        <v>0</v>
      </c>
      <c r="L45" s="3">
        <v>4.2</v>
      </c>
      <c r="M45" s="3">
        <v>605178</v>
      </c>
      <c r="N45" s="3">
        <v>106958.74</v>
      </c>
    </row>
    <row r="46" spans="1:14">
      <c r="A46" s="3" t="s">
        <v>33</v>
      </c>
      <c r="B46" s="5">
        <v>45658</v>
      </c>
      <c r="C46" s="3" t="s">
        <v>27</v>
      </c>
      <c r="D46" s="3" t="s">
        <v>16</v>
      </c>
      <c r="E46" s="3">
        <v>138855.51</v>
      </c>
      <c r="F46" s="3">
        <v>5145</v>
      </c>
      <c r="G46" s="3">
        <v>0.06</v>
      </c>
      <c r="H46" s="3">
        <v>17</v>
      </c>
      <c r="I46" s="3">
        <v>88.2</v>
      </c>
      <c r="J46" s="3">
        <v>9.58</v>
      </c>
      <c r="K46" s="3">
        <v>0</v>
      </c>
      <c r="L46" s="3">
        <v>3.2</v>
      </c>
      <c r="M46" s="3">
        <v>595467.6</v>
      </c>
      <c r="N46" s="3">
        <v>104276.46</v>
      </c>
    </row>
    <row r="47" spans="1:14">
      <c r="A47" s="3" t="s">
        <v>33</v>
      </c>
      <c r="B47" s="5">
        <v>45689</v>
      </c>
      <c r="C47" s="3" t="s">
        <v>27</v>
      </c>
      <c r="D47" s="3" t="s">
        <v>16</v>
      </c>
      <c r="E47" s="3">
        <v>63630.21</v>
      </c>
      <c r="F47" s="3">
        <v>4460</v>
      </c>
      <c r="G47" s="3">
        <v>0.23499999999999999</v>
      </c>
      <c r="H47" s="3">
        <v>14</v>
      </c>
      <c r="I47" s="3">
        <v>98.6</v>
      </c>
      <c r="J47" s="3">
        <v>5.52</v>
      </c>
      <c r="K47" s="3">
        <v>0</v>
      </c>
      <c r="L47" s="3">
        <v>3.5</v>
      </c>
      <c r="M47" s="3">
        <v>599603.4</v>
      </c>
      <c r="N47" s="3">
        <v>112685.12</v>
      </c>
    </row>
    <row r="48" spans="1:14">
      <c r="A48" s="3" t="s">
        <v>33</v>
      </c>
      <c r="B48" s="5">
        <v>45717</v>
      </c>
      <c r="C48" s="3" t="s">
        <v>27</v>
      </c>
      <c r="D48" s="3" t="s">
        <v>16</v>
      </c>
      <c r="E48" s="3">
        <v>50043.65</v>
      </c>
      <c r="F48" s="3">
        <v>3804</v>
      </c>
      <c r="G48" s="3">
        <v>0.113</v>
      </c>
      <c r="H48" s="3">
        <v>11</v>
      </c>
      <c r="I48" s="3">
        <v>90.9</v>
      </c>
      <c r="J48" s="3">
        <v>2.7</v>
      </c>
      <c r="K48" s="3">
        <v>1</v>
      </c>
      <c r="L48" s="3">
        <v>3.2</v>
      </c>
      <c r="M48" s="3">
        <v>614800.09</v>
      </c>
      <c r="N48" s="3">
        <v>100044.2</v>
      </c>
    </row>
    <row r="49" spans="1:14">
      <c r="A49" s="3" t="s">
        <v>33</v>
      </c>
      <c r="B49" s="5">
        <v>45748</v>
      </c>
      <c r="C49" s="3" t="s">
        <v>27</v>
      </c>
      <c r="D49" s="3" t="s">
        <v>16</v>
      </c>
      <c r="E49" s="3">
        <v>42093.84</v>
      </c>
      <c r="F49" s="3">
        <v>4074</v>
      </c>
      <c r="G49" s="3">
        <v>0.155</v>
      </c>
      <c r="H49" s="3">
        <v>15</v>
      </c>
      <c r="I49" s="3">
        <v>88</v>
      </c>
      <c r="J49" s="3">
        <v>9.64</v>
      </c>
      <c r="K49" s="3">
        <v>0</v>
      </c>
      <c r="L49" s="3">
        <v>3.3</v>
      </c>
      <c r="M49" s="3">
        <v>585365.73</v>
      </c>
      <c r="N49" s="3">
        <v>81011.520000000004</v>
      </c>
    </row>
    <row r="50" spans="1:14">
      <c r="A50" s="3" t="s">
        <v>34</v>
      </c>
      <c r="B50" s="5">
        <v>45658</v>
      </c>
      <c r="C50" s="3" t="s">
        <v>20</v>
      </c>
      <c r="D50" s="3" t="s">
        <v>28</v>
      </c>
      <c r="E50" s="3">
        <v>46624.05</v>
      </c>
      <c r="F50" s="3">
        <v>5104</v>
      </c>
      <c r="G50" s="3">
        <v>0.109</v>
      </c>
      <c r="H50" s="3">
        <v>11</v>
      </c>
      <c r="I50" s="3">
        <v>97.3</v>
      </c>
      <c r="J50" s="3">
        <v>3.49</v>
      </c>
      <c r="K50" s="3">
        <v>1</v>
      </c>
      <c r="L50" s="3">
        <v>4.7</v>
      </c>
      <c r="M50" s="3">
        <v>622811.74</v>
      </c>
      <c r="N50" s="3">
        <v>109978.35</v>
      </c>
    </row>
    <row r="51" spans="1:14">
      <c r="A51" s="3" t="s">
        <v>34</v>
      </c>
      <c r="B51" s="5">
        <v>45689</v>
      </c>
      <c r="C51" s="3" t="s">
        <v>20</v>
      </c>
      <c r="D51" s="3" t="s">
        <v>28</v>
      </c>
      <c r="E51" s="3">
        <v>49710.29</v>
      </c>
      <c r="F51" s="3">
        <v>5559</v>
      </c>
      <c r="G51" s="3">
        <v>0.218</v>
      </c>
      <c r="H51" s="3">
        <v>14</v>
      </c>
      <c r="I51" s="3">
        <v>71</v>
      </c>
      <c r="J51" s="3">
        <v>9.11</v>
      </c>
      <c r="K51" s="3">
        <v>0</v>
      </c>
      <c r="L51" s="3">
        <v>4.5999999999999996</v>
      </c>
      <c r="M51" s="3">
        <v>603297.56999999995</v>
      </c>
      <c r="N51" s="3">
        <v>60592.26</v>
      </c>
    </row>
    <row r="52" spans="1:14">
      <c r="A52" s="3" t="s">
        <v>34</v>
      </c>
      <c r="B52" s="5">
        <v>45717</v>
      </c>
      <c r="C52" s="3" t="s">
        <v>20</v>
      </c>
      <c r="D52" s="3" t="s">
        <v>28</v>
      </c>
      <c r="E52" s="3">
        <v>48287.85</v>
      </c>
      <c r="F52" s="3">
        <v>5150</v>
      </c>
      <c r="G52" s="3">
        <v>8.0000000000000002E-3</v>
      </c>
      <c r="H52" s="3">
        <v>12</v>
      </c>
      <c r="I52" s="3">
        <v>80.400000000000006</v>
      </c>
      <c r="J52" s="3">
        <v>7.4</v>
      </c>
      <c r="K52" s="3">
        <v>0</v>
      </c>
      <c r="L52" s="3">
        <v>4.5</v>
      </c>
      <c r="M52" s="3">
        <v>625672.86</v>
      </c>
      <c r="N52" s="3">
        <v>118020.12</v>
      </c>
    </row>
    <row r="53" spans="1:14">
      <c r="A53" s="3" t="s">
        <v>34</v>
      </c>
      <c r="B53" s="5">
        <v>45748</v>
      </c>
      <c r="C53" s="3" t="s">
        <v>20</v>
      </c>
      <c r="D53" s="3" t="s">
        <v>28</v>
      </c>
      <c r="E53" s="3">
        <v>65312.49</v>
      </c>
      <c r="F53" s="3">
        <v>7189</v>
      </c>
      <c r="G53" s="3">
        <v>0.05</v>
      </c>
      <c r="H53" s="3">
        <v>19</v>
      </c>
      <c r="I53" s="3">
        <v>93.7</v>
      </c>
      <c r="J53" s="3">
        <v>7.16</v>
      </c>
      <c r="K53" s="3">
        <v>0</v>
      </c>
      <c r="L53" s="3">
        <v>4.5999999999999996</v>
      </c>
      <c r="M53" s="3">
        <v>773815.14</v>
      </c>
      <c r="N53" s="3">
        <v>133948.39000000001</v>
      </c>
    </row>
    <row r="54" spans="1:14">
      <c r="A54" s="3" t="s">
        <v>35</v>
      </c>
      <c r="B54" s="5">
        <v>45658</v>
      </c>
      <c r="C54" s="3" t="s">
        <v>27</v>
      </c>
      <c r="D54" s="3" t="s">
        <v>18</v>
      </c>
      <c r="E54" s="3">
        <v>53015.46</v>
      </c>
      <c r="F54" s="3">
        <v>3279</v>
      </c>
      <c r="G54" s="3">
        <v>8.6999999999999994E-2</v>
      </c>
      <c r="H54" s="3">
        <v>9</v>
      </c>
      <c r="I54" s="3">
        <v>84.3</v>
      </c>
      <c r="J54" s="3">
        <v>22.02</v>
      </c>
      <c r="K54" s="3">
        <v>0</v>
      </c>
      <c r="L54" s="3">
        <v>3.9</v>
      </c>
      <c r="M54" s="3">
        <v>463534.25</v>
      </c>
      <c r="N54" s="3">
        <v>81834.539999999994</v>
      </c>
    </row>
    <row r="55" spans="1:14">
      <c r="A55" s="3" t="s">
        <v>35</v>
      </c>
      <c r="B55" s="5">
        <v>45689</v>
      </c>
      <c r="C55" s="3" t="s">
        <v>27</v>
      </c>
      <c r="D55" s="3" t="s">
        <v>18</v>
      </c>
      <c r="E55" s="3">
        <v>99874.01</v>
      </c>
      <c r="F55" s="3">
        <v>5887</v>
      </c>
      <c r="G55" s="3">
        <v>0.26200000000000001</v>
      </c>
      <c r="H55" s="3">
        <v>14</v>
      </c>
      <c r="I55" s="3">
        <v>88.7</v>
      </c>
      <c r="J55" s="3">
        <v>6.18</v>
      </c>
      <c r="K55" s="3">
        <v>0</v>
      </c>
      <c r="L55" s="3">
        <v>4.7</v>
      </c>
      <c r="M55" s="3">
        <v>746677.75</v>
      </c>
      <c r="N55" s="3">
        <v>122437.84</v>
      </c>
    </row>
    <row r="56" spans="1:14">
      <c r="A56" s="3" t="s">
        <v>35</v>
      </c>
      <c r="B56" s="5">
        <v>45717</v>
      </c>
      <c r="C56" s="3" t="s">
        <v>27</v>
      </c>
      <c r="D56" s="3" t="s">
        <v>18</v>
      </c>
      <c r="E56" s="3">
        <v>81195.5</v>
      </c>
      <c r="F56" s="3">
        <v>5516</v>
      </c>
      <c r="G56" s="3">
        <v>0.106</v>
      </c>
      <c r="H56" s="3">
        <v>14</v>
      </c>
      <c r="I56" s="3">
        <v>88</v>
      </c>
      <c r="J56" s="3">
        <v>1.76</v>
      </c>
      <c r="K56" s="3">
        <v>0</v>
      </c>
      <c r="L56" s="3">
        <v>4.3</v>
      </c>
      <c r="M56" s="3">
        <v>720852.5</v>
      </c>
      <c r="N56" s="3">
        <v>98565.62</v>
      </c>
    </row>
    <row r="57" spans="1:14">
      <c r="A57" s="3" t="s">
        <v>35</v>
      </c>
      <c r="B57" s="5">
        <v>45748</v>
      </c>
      <c r="C57" s="3" t="s">
        <v>27</v>
      </c>
      <c r="D57" s="3" t="s">
        <v>18</v>
      </c>
      <c r="E57" s="3">
        <v>27808.6</v>
      </c>
      <c r="F57" s="3">
        <v>2863</v>
      </c>
      <c r="G57" s="3">
        <v>0.08</v>
      </c>
      <c r="H57" s="3">
        <v>13</v>
      </c>
      <c r="I57" s="3">
        <v>89.3</v>
      </c>
      <c r="J57" s="3">
        <v>0.47</v>
      </c>
      <c r="K57" s="3">
        <v>0</v>
      </c>
      <c r="L57" s="3">
        <v>4.0999999999999996</v>
      </c>
      <c r="M57" s="3">
        <v>487464.91</v>
      </c>
      <c r="N57" s="3">
        <v>64562.26</v>
      </c>
    </row>
    <row r="58" spans="1:14">
      <c r="A58" s="3" t="s">
        <v>36</v>
      </c>
      <c r="B58" s="5">
        <v>45658</v>
      </c>
      <c r="C58" s="3" t="s">
        <v>15</v>
      </c>
      <c r="D58" s="3" t="s">
        <v>21</v>
      </c>
      <c r="E58" s="3">
        <v>19365.060000000001</v>
      </c>
      <c r="F58" s="3">
        <v>2378</v>
      </c>
      <c r="G58" s="3">
        <v>0</v>
      </c>
      <c r="H58" s="3">
        <v>12</v>
      </c>
      <c r="I58" s="3">
        <v>94.8</v>
      </c>
      <c r="J58" s="3">
        <v>0.2</v>
      </c>
      <c r="K58" s="3">
        <v>0</v>
      </c>
      <c r="L58" s="3">
        <v>3.5</v>
      </c>
      <c r="M58" s="3">
        <v>518049.26</v>
      </c>
      <c r="N58" s="3">
        <v>108592.49</v>
      </c>
    </row>
    <row r="59" spans="1:14">
      <c r="A59" s="3" t="s">
        <v>36</v>
      </c>
      <c r="B59" s="5">
        <v>45689</v>
      </c>
      <c r="C59" s="3" t="s">
        <v>15</v>
      </c>
      <c r="D59" s="3" t="s">
        <v>21</v>
      </c>
      <c r="E59" s="3">
        <v>59405.68</v>
      </c>
      <c r="F59" s="3">
        <v>2515</v>
      </c>
      <c r="G59" s="3">
        <v>3.9E-2</v>
      </c>
      <c r="H59" s="3">
        <v>12</v>
      </c>
      <c r="I59" s="3">
        <v>76</v>
      </c>
      <c r="J59" s="3">
        <v>5.1100000000000003</v>
      </c>
      <c r="K59" s="3">
        <v>0</v>
      </c>
      <c r="L59" s="3">
        <v>3.7</v>
      </c>
      <c r="M59" s="3">
        <v>500298.48</v>
      </c>
      <c r="N59" s="3">
        <v>73461.320000000007</v>
      </c>
    </row>
    <row r="60" spans="1:14">
      <c r="A60" s="3" t="s">
        <v>36</v>
      </c>
      <c r="B60" s="5">
        <v>45717</v>
      </c>
      <c r="C60" s="3" t="s">
        <v>15</v>
      </c>
      <c r="D60" s="3" t="s">
        <v>21</v>
      </c>
      <c r="E60" s="3">
        <v>118910.48</v>
      </c>
      <c r="F60" s="3">
        <v>4022</v>
      </c>
      <c r="G60" s="3">
        <v>0.13700000000000001</v>
      </c>
      <c r="H60" s="3">
        <v>11</v>
      </c>
      <c r="I60" s="3">
        <v>87.1</v>
      </c>
      <c r="J60" s="3">
        <v>0.2</v>
      </c>
      <c r="K60" s="3">
        <v>0</v>
      </c>
      <c r="L60" s="3">
        <v>3.1</v>
      </c>
      <c r="M60" s="3">
        <v>617291.15</v>
      </c>
      <c r="N60" s="3">
        <v>117782</v>
      </c>
    </row>
    <row r="61" spans="1:14">
      <c r="A61" s="3" t="s">
        <v>36</v>
      </c>
      <c r="B61" s="5">
        <v>45748</v>
      </c>
      <c r="C61" s="3" t="s">
        <v>15</v>
      </c>
      <c r="D61" s="3" t="s">
        <v>21</v>
      </c>
      <c r="E61" s="3">
        <v>52952.12</v>
      </c>
      <c r="F61" s="3">
        <v>4377</v>
      </c>
      <c r="G61" s="3">
        <v>9.1999999999999998E-2</v>
      </c>
      <c r="H61" s="3">
        <v>14</v>
      </c>
      <c r="I61" s="3">
        <v>88.6</v>
      </c>
      <c r="J61" s="3">
        <v>13.59</v>
      </c>
      <c r="K61" s="3">
        <v>0</v>
      </c>
      <c r="L61" s="3">
        <v>3.1</v>
      </c>
      <c r="M61" s="3">
        <v>553756.43000000005</v>
      </c>
      <c r="N61" s="3">
        <v>86166.77</v>
      </c>
    </row>
    <row r="62" spans="1:14">
      <c r="A62" s="3" t="s">
        <v>37</v>
      </c>
      <c r="B62" s="5">
        <v>45658</v>
      </c>
      <c r="C62" s="3" t="s">
        <v>24</v>
      </c>
      <c r="D62" s="3" t="s">
        <v>18</v>
      </c>
      <c r="E62" s="3">
        <v>74907.98</v>
      </c>
      <c r="F62" s="3">
        <v>5306</v>
      </c>
      <c r="G62" s="3">
        <v>6.2E-2</v>
      </c>
      <c r="H62" s="3">
        <v>16</v>
      </c>
      <c r="I62" s="3">
        <v>95.6</v>
      </c>
      <c r="J62" s="3">
        <v>1.02</v>
      </c>
      <c r="K62" s="3">
        <v>0</v>
      </c>
      <c r="L62" s="3">
        <v>3.7</v>
      </c>
      <c r="M62" s="3">
        <v>749559.71</v>
      </c>
      <c r="N62" s="3">
        <v>144522.53</v>
      </c>
    </row>
    <row r="63" spans="1:14">
      <c r="A63" s="3" t="s">
        <v>37</v>
      </c>
      <c r="B63" s="5">
        <v>45689</v>
      </c>
      <c r="C63" s="3" t="s">
        <v>24</v>
      </c>
      <c r="D63" s="3" t="s">
        <v>18</v>
      </c>
      <c r="E63" s="3">
        <v>37284.660000000003</v>
      </c>
      <c r="F63" s="3">
        <v>3928</v>
      </c>
      <c r="G63" s="3">
        <v>7.3999999999999996E-2</v>
      </c>
      <c r="H63" s="3">
        <v>12</v>
      </c>
      <c r="I63" s="3">
        <v>86.5</v>
      </c>
      <c r="J63" s="3">
        <v>1.64</v>
      </c>
      <c r="K63" s="3">
        <v>0</v>
      </c>
      <c r="L63" s="3">
        <v>3.8</v>
      </c>
      <c r="M63" s="3">
        <v>615966.48</v>
      </c>
      <c r="N63" s="3">
        <v>91509.38</v>
      </c>
    </row>
    <row r="64" spans="1:14">
      <c r="A64" s="3" t="s">
        <v>37</v>
      </c>
      <c r="B64" s="5">
        <v>45717</v>
      </c>
      <c r="C64" s="3" t="s">
        <v>24</v>
      </c>
      <c r="D64" s="3" t="s">
        <v>18</v>
      </c>
      <c r="E64" s="3">
        <v>50343.19</v>
      </c>
      <c r="F64" s="3">
        <v>3845</v>
      </c>
      <c r="G64" s="3">
        <v>0.113</v>
      </c>
      <c r="H64" s="3">
        <v>9</v>
      </c>
      <c r="I64" s="3">
        <v>88.7</v>
      </c>
      <c r="J64" s="3">
        <v>5.15</v>
      </c>
      <c r="K64" s="3">
        <v>0</v>
      </c>
      <c r="L64" s="3">
        <v>3.3</v>
      </c>
      <c r="M64" s="3">
        <v>572011.19999999995</v>
      </c>
      <c r="N64" s="3">
        <v>101409.68</v>
      </c>
    </row>
    <row r="65" spans="1:14">
      <c r="A65" s="3" t="s">
        <v>37</v>
      </c>
      <c r="B65" s="5">
        <v>45748</v>
      </c>
      <c r="C65" s="3" t="s">
        <v>24</v>
      </c>
      <c r="D65" s="3" t="s">
        <v>18</v>
      </c>
      <c r="E65" s="3">
        <v>74954.47</v>
      </c>
      <c r="F65" s="3">
        <v>6620</v>
      </c>
      <c r="G65" s="3">
        <v>5.3999999999999999E-2</v>
      </c>
      <c r="H65" s="3">
        <v>17</v>
      </c>
      <c r="I65" s="3">
        <v>91.1</v>
      </c>
      <c r="J65" s="3">
        <v>1.1100000000000001</v>
      </c>
      <c r="K65" s="3">
        <v>0</v>
      </c>
      <c r="L65" s="3">
        <v>3.5</v>
      </c>
      <c r="M65" s="3">
        <v>761860.19</v>
      </c>
      <c r="N65" s="3">
        <v>133279.38</v>
      </c>
    </row>
    <row r="66" spans="1:14">
      <c r="A66" s="3" t="s">
        <v>38</v>
      </c>
      <c r="B66" s="5">
        <v>45658</v>
      </c>
      <c r="C66" s="3" t="s">
        <v>27</v>
      </c>
      <c r="D66" s="3" t="s">
        <v>18</v>
      </c>
      <c r="E66" s="3">
        <v>70040.31</v>
      </c>
      <c r="F66" s="3">
        <v>9175</v>
      </c>
      <c r="G66" s="3">
        <v>0.107</v>
      </c>
      <c r="H66" s="3">
        <v>23</v>
      </c>
      <c r="I66" s="3">
        <v>95.1</v>
      </c>
      <c r="J66" s="3">
        <v>6.08</v>
      </c>
      <c r="K66" s="3">
        <v>1</v>
      </c>
      <c r="L66" s="3">
        <v>3.4</v>
      </c>
      <c r="M66" s="3">
        <v>784502.68</v>
      </c>
      <c r="N66" s="3">
        <v>129519.72</v>
      </c>
    </row>
    <row r="67" spans="1:14">
      <c r="A67" s="3" t="s">
        <v>38</v>
      </c>
      <c r="B67" s="5">
        <v>45689</v>
      </c>
      <c r="C67" s="3" t="s">
        <v>27</v>
      </c>
      <c r="D67" s="3" t="s">
        <v>18</v>
      </c>
      <c r="E67" s="3">
        <v>51148.69</v>
      </c>
      <c r="F67" s="3">
        <v>7940</v>
      </c>
      <c r="G67" s="3">
        <v>0.156</v>
      </c>
      <c r="H67" s="3">
        <v>18</v>
      </c>
      <c r="I67" s="3">
        <v>93.3</v>
      </c>
      <c r="J67" s="3">
        <v>10.91</v>
      </c>
      <c r="K67" s="3">
        <v>0</v>
      </c>
      <c r="L67" s="3">
        <v>3.6</v>
      </c>
      <c r="M67" s="3">
        <v>717141.55</v>
      </c>
      <c r="N67" s="3">
        <v>134013.60999999999</v>
      </c>
    </row>
    <row r="68" spans="1:14">
      <c r="A68" s="3" t="s">
        <v>38</v>
      </c>
      <c r="B68" s="5">
        <v>45717</v>
      </c>
      <c r="C68" s="3" t="s">
        <v>27</v>
      </c>
      <c r="D68" s="3" t="s">
        <v>18</v>
      </c>
      <c r="E68" s="3">
        <v>79346.100000000006</v>
      </c>
      <c r="F68" s="3">
        <v>9628</v>
      </c>
      <c r="G68" s="3">
        <v>0.10199999999999999</v>
      </c>
      <c r="H68" s="3">
        <v>20</v>
      </c>
      <c r="I68" s="3">
        <v>99</v>
      </c>
      <c r="J68" s="3">
        <v>19.010000000000002</v>
      </c>
      <c r="K68" s="3">
        <v>1</v>
      </c>
      <c r="L68" s="3">
        <v>3.2</v>
      </c>
      <c r="M68" s="3">
        <v>685379.08</v>
      </c>
      <c r="N68" s="3">
        <v>106898.82</v>
      </c>
    </row>
    <row r="69" spans="1:14">
      <c r="A69" s="3" t="s">
        <v>38</v>
      </c>
      <c r="B69" s="5">
        <v>45748</v>
      </c>
      <c r="C69" s="3" t="s">
        <v>27</v>
      </c>
      <c r="D69" s="3" t="s">
        <v>18</v>
      </c>
      <c r="E69" s="3">
        <v>42018.400000000001</v>
      </c>
      <c r="F69" s="3">
        <v>8296</v>
      </c>
      <c r="G69" s="3">
        <v>0.115</v>
      </c>
      <c r="H69" s="3">
        <v>17</v>
      </c>
      <c r="I69" s="3">
        <v>91.8</v>
      </c>
      <c r="J69" s="3">
        <v>0.77</v>
      </c>
      <c r="K69" s="3">
        <v>0</v>
      </c>
      <c r="L69" s="3">
        <v>3.4</v>
      </c>
      <c r="M69" s="3">
        <v>740496.65</v>
      </c>
      <c r="N69" s="3">
        <v>128020.9</v>
      </c>
    </row>
    <row r="70" spans="1:14">
      <c r="A70" s="3" t="s">
        <v>39</v>
      </c>
      <c r="B70" s="5">
        <v>45658</v>
      </c>
      <c r="C70" s="3" t="s">
        <v>15</v>
      </c>
      <c r="D70" s="3" t="s">
        <v>18</v>
      </c>
      <c r="E70" s="3">
        <v>70937.240000000005</v>
      </c>
      <c r="F70" s="3">
        <v>3595</v>
      </c>
      <c r="G70" s="3">
        <v>0.14099999999999999</v>
      </c>
      <c r="H70" s="3">
        <v>11</v>
      </c>
      <c r="I70" s="3">
        <v>88.9</v>
      </c>
      <c r="J70" s="3">
        <v>2.83</v>
      </c>
      <c r="K70" s="3">
        <v>1</v>
      </c>
      <c r="L70" s="3">
        <v>3.3</v>
      </c>
      <c r="M70" s="3">
        <v>661927.14</v>
      </c>
      <c r="N70" s="3">
        <v>79218.570000000007</v>
      </c>
    </row>
    <row r="71" spans="1:14">
      <c r="A71" s="3" t="s">
        <v>39</v>
      </c>
      <c r="B71" s="5">
        <v>45689</v>
      </c>
      <c r="C71" s="3" t="s">
        <v>15</v>
      </c>
      <c r="D71" s="3" t="s">
        <v>18</v>
      </c>
      <c r="E71" s="3">
        <v>36813.449999999997</v>
      </c>
      <c r="F71" s="3">
        <v>2834</v>
      </c>
      <c r="G71" s="3">
        <v>0.191</v>
      </c>
      <c r="H71" s="3">
        <v>11</v>
      </c>
      <c r="I71" s="3">
        <v>81.8</v>
      </c>
      <c r="J71" s="3">
        <v>2.33</v>
      </c>
      <c r="K71" s="3">
        <v>0</v>
      </c>
      <c r="L71" s="3">
        <v>3.3</v>
      </c>
      <c r="M71" s="3">
        <v>479050.5</v>
      </c>
      <c r="N71" s="3">
        <v>53651.11</v>
      </c>
    </row>
    <row r="72" spans="1:14">
      <c r="A72" s="3" t="s">
        <v>39</v>
      </c>
      <c r="B72" s="5">
        <v>45717</v>
      </c>
      <c r="C72" s="3" t="s">
        <v>15</v>
      </c>
      <c r="D72" s="3" t="s">
        <v>18</v>
      </c>
      <c r="E72" s="3">
        <v>60571.82</v>
      </c>
      <c r="F72" s="3">
        <v>3193</v>
      </c>
      <c r="G72" s="3">
        <v>0.19700000000000001</v>
      </c>
      <c r="H72" s="3">
        <v>7</v>
      </c>
      <c r="I72" s="3">
        <v>99</v>
      </c>
      <c r="J72" s="3">
        <v>1.43</v>
      </c>
      <c r="K72" s="3">
        <v>0</v>
      </c>
      <c r="L72" s="3">
        <v>3.2</v>
      </c>
      <c r="M72" s="3">
        <v>605023.87</v>
      </c>
      <c r="N72" s="3">
        <v>98545.81</v>
      </c>
    </row>
    <row r="73" spans="1:14">
      <c r="A73" s="3" t="s">
        <v>39</v>
      </c>
      <c r="B73" s="5">
        <v>45748</v>
      </c>
      <c r="C73" s="3" t="s">
        <v>15</v>
      </c>
      <c r="D73" s="3" t="s">
        <v>18</v>
      </c>
      <c r="E73" s="3">
        <v>55081.16</v>
      </c>
      <c r="F73" s="3">
        <v>5485</v>
      </c>
      <c r="G73" s="3">
        <v>3.5999999999999997E-2</v>
      </c>
      <c r="H73" s="3">
        <v>12</v>
      </c>
      <c r="I73" s="3">
        <v>88</v>
      </c>
      <c r="J73" s="3"/>
      <c r="K73" s="3">
        <v>0</v>
      </c>
      <c r="L73" s="3">
        <v>3.5</v>
      </c>
      <c r="M73" s="3">
        <v>674774.09</v>
      </c>
      <c r="N73" s="3">
        <v>141917.59</v>
      </c>
    </row>
    <row r="74" spans="1:14">
      <c r="A74" s="3" t="s">
        <v>40</v>
      </c>
      <c r="B74" s="5">
        <v>45658</v>
      </c>
      <c r="C74" s="3" t="s">
        <v>15</v>
      </c>
      <c r="D74" s="3" t="s">
        <v>16</v>
      </c>
      <c r="E74" s="3">
        <v>46201.46</v>
      </c>
      <c r="F74" s="3">
        <v>5918</v>
      </c>
      <c r="G74" s="3">
        <v>0.27700000000000002</v>
      </c>
      <c r="H74" s="3">
        <v>13</v>
      </c>
      <c r="I74" s="3">
        <v>78.8</v>
      </c>
      <c r="J74" s="3">
        <v>4.91</v>
      </c>
      <c r="K74" s="3">
        <v>0</v>
      </c>
      <c r="L74" s="3">
        <v>4.5</v>
      </c>
      <c r="M74" s="3">
        <v>616069.41</v>
      </c>
      <c r="N74" s="3">
        <v>54453.99</v>
      </c>
    </row>
    <row r="75" spans="1:14">
      <c r="A75" s="3" t="s">
        <v>40</v>
      </c>
      <c r="B75" s="5">
        <v>45689</v>
      </c>
      <c r="C75" s="3" t="s">
        <v>15</v>
      </c>
      <c r="D75" s="3" t="s">
        <v>16</v>
      </c>
      <c r="E75" s="3">
        <v>53762.92</v>
      </c>
      <c r="F75" s="3">
        <v>6821</v>
      </c>
      <c r="G75" s="3">
        <v>6.6000000000000003E-2</v>
      </c>
      <c r="H75" s="3">
        <v>19</v>
      </c>
      <c r="I75" s="3">
        <v>94.6</v>
      </c>
      <c r="J75" s="3">
        <v>7.03</v>
      </c>
      <c r="K75" s="3">
        <v>0</v>
      </c>
      <c r="L75" s="3">
        <v>4.4000000000000004</v>
      </c>
      <c r="M75" s="3">
        <v>630829.93999999994</v>
      </c>
      <c r="N75" s="3">
        <v>117090.02</v>
      </c>
    </row>
    <row r="76" spans="1:14">
      <c r="A76" s="3" t="s">
        <v>40</v>
      </c>
      <c r="B76" s="5">
        <v>45717</v>
      </c>
      <c r="C76" s="3" t="s">
        <v>15</v>
      </c>
      <c r="D76" s="3" t="s">
        <v>16</v>
      </c>
      <c r="E76" s="3">
        <v>70144.78</v>
      </c>
      <c r="F76" s="3">
        <v>6806</v>
      </c>
      <c r="G76" s="3">
        <v>0.17799999999999999</v>
      </c>
      <c r="H76" s="3">
        <v>20</v>
      </c>
      <c r="I76" s="3">
        <v>93.1</v>
      </c>
      <c r="J76" s="3">
        <v>0.28000000000000003</v>
      </c>
      <c r="K76" s="3">
        <v>1</v>
      </c>
      <c r="L76" s="3">
        <v>4.3</v>
      </c>
      <c r="M76" s="3">
        <v>788087.68</v>
      </c>
      <c r="N76" s="3">
        <v>116803.42</v>
      </c>
    </row>
    <row r="77" spans="1:14">
      <c r="A77" s="3" t="s">
        <v>40</v>
      </c>
      <c r="B77" s="5">
        <v>45748</v>
      </c>
      <c r="C77" s="3" t="s">
        <v>15</v>
      </c>
      <c r="D77" s="3" t="s">
        <v>16</v>
      </c>
      <c r="E77" s="3">
        <v>58749.63</v>
      </c>
      <c r="F77" s="3">
        <v>8252</v>
      </c>
      <c r="G77" s="3">
        <v>0.20300000000000001</v>
      </c>
      <c r="H77" s="3">
        <v>20</v>
      </c>
      <c r="I77" s="3">
        <v>85.2</v>
      </c>
      <c r="J77" s="3">
        <v>3.61</v>
      </c>
      <c r="K77" s="3">
        <v>0</v>
      </c>
      <c r="L77" s="3">
        <v>4.5</v>
      </c>
      <c r="M77" s="3">
        <v>680840.36</v>
      </c>
      <c r="N77" s="3">
        <v>68007.679999999993</v>
      </c>
    </row>
    <row r="78" spans="1:14">
      <c r="A78" s="3" t="s">
        <v>41</v>
      </c>
      <c r="B78" s="5">
        <v>45658</v>
      </c>
      <c r="C78" s="3" t="s">
        <v>24</v>
      </c>
      <c r="D78" s="3" t="s">
        <v>18</v>
      </c>
      <c r="E78" s="3">
        <v>56973.18</v>
      </c>
      <c r="F78" s="3">
        <v>6662</v>
      </c>
      <c r="G78" s="3">
        <v>0.1</v>
      </c>
      <c r="H78" s="3">
        <v>15</v>
      </c>
      <c r="I78" s="3">
        <v>77.7</v>
      </c>
      <c r="J78" s="3">
        <v>7.52</v>
      </c>
      <c r="K78" s="3">
        <v>1</v>
      </c>
      <c r="L78" s="3">
        <v>3.2</v>
      </c>
      <c r="M78" s="3">
        <v>643657.47</v>
      </c>
      <c r="N78" s="3">
        <v>87022.45</v>
      </c>
    </row>
    <row r="79" spans="1:14">
      <c r="A79" s="3" t="s">
        <v>41</v>
      </c>
      <c r="B79" s="5">
        <v>45689</v>
      </c>
      <c r="C79" s="3" t="s">
        <v>24</v>
      </c>
      <c r="D79" s="3" t="s">
        <v>18</v>
      </c>
      <c r="E79" s="3">
        <v>54872.82</v>
      </c>
      <c r="F79" s="3">
        <v>5962</v>
      </c>
      <c r="G79" s="3">
        <v>6.4000000000000001E-2</v>
      </c>
      <c r="H79" s="3">
        <v>12</v>
      </c>
      <c r="I79" s="3">
        <v>85.4</v>
      </c>
      <c r="J79" s="3">
        <v>2.58</v>
      </c>
      <c r="K79" s="3">
        <v>0</v>
      </c>
      <c r="L79" s="3">
        <v>2.9</v>
      </c>
      <c r="M79" s="3">
        <v>691112.6</v>
      </c>
      <c r="N79" s="3">
        <v>109212.83</v>
      </c>
    </row>
    <row r="80" spans="1:14">
      <c r="A80" s="3" t="s">
        <v>41</v>
      </c>
      <c r="B80" s="5">
        <v>45717</v>
      </c>
      <c r="C80" s="3" t="s">
        <v>24</v>
      </c>
      <c r="D80" s="3" t="s">
        <v>18</v>
      </c>
      <c r="E80" s="3">
        <v>80562.81</v>
      </c>
      <c r="F80" s="3">
        <v>7470</v>
      </c>
      <c r="G80" s="3">
        <v>0.17199999999999999</v>
      </c>
      <c r="H80" s="3">
        <v>16</v>
      </c>
      <c r="I80" s="3">
        <v>83.5</v>
      </c>
      <c r="J80" s="3">
        <v>2.29</v>
      </c>
      <c r="K80" s="3">
        <v>0</v>
      </c>
      <c r="L80" s="3">
        <v>3.3</v>
      </c>
      <c r="M80" s="3">
        <v>776922.17</v>
      </c>
      <c r="N80" s="3">
        <v>150701.93</v>
      </c>
    </row>
    <row r="81" spans="1:14">
      <c r="A81" s="3" t="s">
        <v>41</v>
      </c>
      <c r="B81" s="5">
        <v>45748</v>
      </c>
      <c r="C81" s="3" t="s">
        <v>24</v>
      </c>
      <c r="D81" s="3" t="s">
        <v>18</v>
      </c>
      <c r="E81" s="3">
        <v>77999.899999999994</v>
      </c>
      <c r="F81" s="3">
        <v>5974</v>
      </c>
      <c r="G81" s="3">
        <v>0.252</v>
      </c>
      <c r="H81" s="3">
        <v>14</v>
      </c>
      <c r="I81" s="3">
        <v>81.3</v>
      </c>
      <c r="J81" s="3">
        <v>2.39</v>
      </c>
      <c r="K81" s="3">
        <v>0</v>
      </c>
      <c r="L81" s="3">
        <v>3.2</v>
      </c>
      <c r="M81" s="3">
        <v>636561.34</v>
      </c>
      <c r="N81" s="3">
        <v>93861.06</v>
      </c>
    </row>
    <row r="82" spans="1:14">
      <c r="A82" s="3" t="s">
        <v>42</v>
      </c>
      <c r="B82" s="5">
        <v>45658</v>
      </c>
      <c r="C82" s="3" t="s">
        <v>27</v>
      </c>
      <c r="D82" s="3" t="s">
        <v>28</v>
      </c>
      <c r="E82" s="3">
        <v>60881.01</v>
      </c>
      <c r="F82" s="3">
        <v>5410</v>
      </c>
      <c r="G82" s="3">
        <v>0.17899999999999999</v>
      </c>
      <c r="H82" s="3">
        <v>15</v>
      </c>
      <c r="I82" s="3">
        <v>83.9</v>
      </c>
      <c r="J82" s="3">
        <v>5.24</v>
      </c>
      <c r="K82" s="3">
        <v>0</v>
      </c>
      <c r="L82" s="3">
        <v>4.5999999999999996</v>
      </c>
      <c r="M82" s="3">
        <v>621369.57999999996</v>
      </c>
      <c r="N82" s="3">
        <v>85493.64</v>
      </c>
    </row>
    <row r="83" spans="1:14">
      <c r="A83" s="3" t="s">
        <v>42</v>
      </c>
      <c r="B83" s="5">
        <v>45689</v>
      </c>
      <c r="C83" s="3" t="s">
        <v>27</v>
      </c>
      <c r="D83" s="3" t="s">
        <v>28</v>
      </c>
      <c r="E83" s="3">
        <v>60628.38</v>
      </c>
      <c r="F83" s="3">
        <v>4451</v>
      </c>
      <c r="G83" s="3">
        <v>9.5000000000000001E-2</v>
      </c>
      <c r="H83" s="3">
        <v>10</v>
      </c>
      <c r="I83" s="3">
        <v>89.6</v>
      </c>
      <c r="J83" s="3">
        <v>3.17</v>
      </c>
      <c r="K83" s="3">
        <v>0</v>
      </c>
      <c r="L83" s="3">
        <v>4.5999999999999996</v>
      </c>
      <c r="M83" s="3">
        <v>682208.01</v>
      </c>
      <c r="N83" s="3">
        <v>110318.84</v>
      </c>
    </row>
    <row r="84" spans="1:14">
      <c r="A84" s="3" t="s">
        <v>42</v>
      </c>
      <c r="B84" s="5">
        <v>45717</v>
      </c>
      <c r="C84" s="3" t="s">
        <v>27</v>
      </c>
      <c r="D84" s="3" t="s">
        <v>28</v>
      </c>
      <c r="E84" s="3">
        <v>72731.14</v>
      </c>
      <c r="F84" s="3">
        <v>4644</v>
      </c>
      <c r="G84" s="3">
        <v>8.4000000000000005E-2</v>
      </c>
      <c r="H84" s="3">
        <v>15</v>
      </c>
      <c r="I84" s="3">
        <v>87.1</v>
      </c>
      <c r="J84" s="3">
        <v>2.66</v>
      </c>
      <c r="K84" s="3">
        <v>0</v>
      </c>
      <c r="L84" s="3">
        <v>4.5999999999999996</v>
      </c>
      <c r="M84" s="3">
        <v>727241.86</v>
      </c>
      <c r="N84" s="3">
        <v>155810.29999999999</v>
      </c>
    </row>
    <row r="85" spans="1:14">
      <c r="A85" s="3" t="s">
        <v>42</v>
      </c>
      <c r="B85" s="5">
        <v>45748</v>
      </c>
      <c r="C85" s="3" t="s">
        <v>27</v>
      </c>
      <c r="D85" s="3" t="s">
        <v>28</v>
      </c>
      <c r="E85" s="3">
        <v>36475.71</v>
      </c>
      <c r="F85" s="3">
        <v>3559</v>
      </c>
      <c r="G85" s="3">
        <v>0.03</v>
      </c>
      <c r="H85" s="3">
        <v>8</v>
      </c>
      <c r="I85" s="3">
        <v>83.6</v>
      </c>
      <c r="J85" s="3">
        <v>1.41</v>
      </c>
      <c r="K85" s="3">
        <v>0</v>
      </c>
      <c r="L85" s="3">
        <v>4.2</v>
      </c>
      <c r="M85" s="3">
        <v>569100.78</v>
      </c>
      <c r="N85" s="3">
        <v>104808.78</v>
      </c>
    </row>
    <row r="86" spans="1:14">
      <c r="A86" s="3" t="s">
        <v>43</v>
      </c>
      <c r="B86" s="5">
        <v>45658</v>
      </c>
      <c r="C86" s="3" t="s">
        <v>27</v>
      </c>
      <c r="D86" s="3" t="s">
        <v>18</v>
      </c>
      <c r="E86" s="3">
        <v>55388.11</v>
      </c>
      <c r="F86" s="3">
        <v>3091</v>
      </c>
      <c r="G86" s="3">
        <v>0.108</v>
      </c>
      <c r="H86" s="3">
        <v>7</v>
      </c>
      <c r="I86" s="3">
        <v>85.4</v>
      </c>
      <c r="J86" s="3">
        <v>7.34</v>
      </c>
      <c r="K86" s="3">
        <v>0</v>
      </c>
      <c r="L86" s="3">
        <v>4.9000000000000004</v>
      </c>
      <c r="M86" s="3">
        <v>574436.29</v>
      </c>
      <c r="N86" s="3">
        <v>80271.990000000005</v>
      </c>
    </row>
    <row r="87" spans="1:14">
      <c r="A87" s="3" t="s">
        <v>43</v>
      </c>
      <c r="B87" s="5">
        <v>45689</v>
      </c>
      <c r="C87" s="3" t="s">
        <v>27</v>
      </c>
      <c r="D87" s="3" t="s">
        <v>18</v>
      </c>
      <c r="E87" s="3">
        <v>88443.77</v>
      </c>
      <c r="F87" s="3">
        <v>4004</v>
      </c>
      <c r="G87" s="3">
        <v>0.20599999999999999</v>
      </c>
      <c r="H87" s="3">
        <v>11</v>
      </c>
      <c r="I87" s="3">
        <v>91.9</v>
      </c>
      <c r="J87" s="3">
        <v>5.95</v>
      </c>
      <c r="K87" s="3">
        <v>0</v>
      </c>
      <c r="L87" s="3"/>
      <c r="M87" s="3">
        <v>611766.72</v>
      </c>
      <c r="N87" s="3">
        <v>88275.61</v>
      </c>
    </row>
    <row r="88" spans="1:14">
      <c r="A88" s="3" t="s">
        <v>43</v>
      </c>
      <c r="B88" s="5">
        <v>45717</v>
      </c>
      <c r="C88" s="3" t="s">
        <v>27</v>
      </c>
      <c r="D88" s="3" t="s">
        <v>18</v>
      </c>
      <c r="E88" s="3">
        <v>78231.91</v>
      </c>
      <c r="F88" s="3">
        <v>3788</v>
      </c>
      <c r="G88" s="3">
        <v>5.8999999999999997E-2</v>
      </c>
      <c r="H88" s="3">
        <v>11</v>
      </c>
      <c r="I88" s="3">
        <v>88.5</v>
      </c>
      <c r="J88" s="3">
        <v>15.51</v>
      </c>
      <c r="K88" s="3">
        <v>0</v>
      </c>
      <c r="L88" s="3">
        <v>4.3</v>
      </c>
      <c r="M88" s="3">
        <v>614596.31999999995</v>
      </c>
      <c r="N88" s="3">
        <v>131199.41</v>
      </c>
    </row>
    <row r="89" spans="1:14">
      <c r="A89" s="3" t="s">
        <v>43</v>
      </c>
      <c r="B89" s="5">
        <v>45748</v>
      </c>
      <c r="C89" s="3" t="s">
        <v>27</v>
      </c>
      <c r="D89" s="3" t="s">
        <v>18</v>
      </c>
      <c r="E89" s="3">
        <v>18996.32</v>
      </c>
      <c r="F89" s="3">
        <v>1260</v>
      </c>
      <c r="G89" s="3">
        <v>0.14499999999999999</v>
      </c>
      <c r="H89" s="3">
        <v>9</v>
      </c>
      <c r="I89" s="3">
        <v>86.4</v>
      </c>
      <c r="J89" s="3">
        <v>4.3099999999999996</v>
      </c>
      <c r="K89" s="3">
        <v>0</v>
      </c>
      <c r="L89" s="3">
        <v>4.5999999999999996</v>
      </c>
      <c r="M89" s="3">
        <v>450711.92</v>
      </c>
      <c r="N89" s="3">
        <v>90043.76</v>
      </c>
    </row>
    <row r="90" spans="1:14">
      <c r="A90" s="3" t="s">
        <v>44</v>
      </c>
      <c r="B90" s="5">
        <v>45658</v>
      </c>
      <c r="C90" s="3" t="s">
        <v>24</v>
      </c>
      <c r="D90" s="3" t="s">
        <v>28</v>
      </c>
      <c r="E90" s="3">
        <v>50517.94</v>
      </c>
      <c r="F90" s="3">
        <v>7024</v>
      </c>
      <c r="G90" s="3">
        <v>2.9000000000000001E-2</v>
      </c>
      <c r="H90" s="3">
        <v>18</v>
      </c>
      <c r="I90" s="3">
        <v>79.2</v>
      </c>
      <c r="J90" s="3">
        <v>6.61</v>
      </c>
      <c r="K90" s="3">
        <v>1</v>
      </c>
      <c r="L90" s="3">
        <v>4.0999999999999996</v>
      </c>
      <c r="M90" s="3">
        <v>711213.46</v>
      </c>
      <c r="N90" s="3">
        <v>105863.26</v>
      </c>
    </row>
    <row r="91" spans="1:14">
      <c r="A91" s="3" t="s">
        <v>44</v>
      </c>
      <c r="B91" s="5">
        <v>45689</v>
      </c>
      <c r="C91" s="3" t="s">
        <v>24</v>
      </c>
      <c r="D91" s="3" t="s">
        <v>28</v>
      </c>
      <c r="E91" s="3">
        <v>141540.29</v>
      </c>
      <c r="F91" s="3">
        <v>5400</v>
      </c>
      <c r="G91" s="3">
        <v>1.2999999999999999E-2</v>
      </c>
      <c r="H91" s="3">
        <v>12</v>
      </c>
      <c r="I91" s="3">
        <v>87</v>
      </c>
      <c r="J91" s="3">
        <v>4.26</v>
      </c>
      <c r="K91" s="3">
        <v>0</v>
      </c>
      <c r="L91" s="3">
        <v>4.5</v>
      </c>
      <c r="M91" s="3">
        <v>627171.9</v>
      </c>
      <c r="N91" s="3">
        <v>105772.75</v>
      </c>
    </row>
    <row r="92" spans="1:14">
      <c r="A92" s="3" t="s">
        <v>44</v>
      </c>
      <c r="B92" s="5">
        <v>45717</v>
      </c>
      <c r="C92" s="3" t="s">
        <v>24</v>
      </c>
      <c r="D92" s="3" t="s">
        <v>28</v>
      </c>
      <c r="E92" s="3">
        <v>82116.19</v>
      </c>
      <c r="F92" s="3">
        <v>5988</v>
      </c>
      <c r="G92" s="3">
        <v>0.04</v>
      </c>
      <c r="H92" s="3">
        <v>17</v>
      </c>
      <c r="I92" s="3">
        <v>91.8</v>
      </c>
      <c r="J92" s="3">
        <v>5.75</v>
      </c>
      <c r="K92" s="3">
        <v>0</v>
      </c>
      <c r="L92" s="3">
        <v>4.7</v>
      </c>
      <c r="M92" s="3">
        <v>739852.58</v>
      </c>
      <c r="N92" s="3">
        <v>129386.43</v>
      </c>
    </row>
    <row r="93" spans="1:14">
      <c r="A93" s="3" t="s">
        <v>44</v>
      </c>
      <c r="B93" s="5">
        <v>45748</v>
      </c>
      <c r="C93" s="3" t="s">
        <v>24</v>
      </c>
      <c r="D93" s="3" t="s">
        <v>28</v>
      </c>
      <c r="E93" s="3">
        <v>31207.51</v>
      </c>
      <c r="F93" s="3">
        <v>3701</v>
      </c>
      <c r="G93" s="3">
        <v>4.2999999999999997E-2</v>
      </c>
      <c r="H93" s="3">
        <v>11</v>
      </c>
      <c r="I93" s="3">
        <v>84.7</v>
      </c>
      <c r="J93" s="3">
        <v>0.33</v>
      </c>
      <c r="K93" s="3">
        <v>0</v>
      </c>
      <c r="L93" s="3">
        <v>4.3</v>
      </c>
      <c r="M93" s="3">
        <v>586307.22</v>
      </c>
      <c r="N93" s="3">
        <v>73927.850000000006</v>
      </c>
    </row>
    <row r="94" spans="1:14">
      <c r="A94" s="3" t="s">
        <v>45</v>
      </c>
      <c r="B94" s="5">
        <v>45658</v>
      </c>
      <c r="C94" s="3" t="s">
        <v>27</v>
      </c>
      <c r="D94" s="3" t="s">
        <v>16</v>
      </c>
      <c r="E94" s="3">
        <v>38966.589999999997</v>
      </c>
      <c r="F94" s="3">
        <v>4509</v>
      </c>
      <c r="G94" s="3">
        <v>0.19400000000000001</v>
      </c>
      <c r="H94" s="3">
        <v>14</v>
      </c>
      <c r="I94" s="3">
        <v>91.1</v>
      </c>
      <c r="J94" s="3">
        <v>2.92</v>
      </c>
      <c r="K94" s="3">
        <v>0</v>
      </c>
      <c r="L94" s="3">
        <v>4.5999999999999996</v>
      </c>
      <c r="M94" s="3">
        <v>585937.48</v>
      </c>
      <c r="N94" s="3">
        <v>82624.2</v>
      </c>
    </row>
    <row r="95" spans="1:14">
      <c r="A95" s="3" t="s">
        <v>45</v>
      </c>
      <c r="B95" s="5">
        <v>45689</v>
      </c>
      <c r="C95" s="3" t="s">
        <v>27</v>
      </c>
      <c r="D95" s="3" t="s">
        <v>16</v>
      </c>
      <c r="E95" s="3">
        <v>67439.3</v>
      </c>
      <c r="F95" s="3">
        <v>6477</v>
      </c>
      <c r="G95" s="3">
        <v>0</v>
      </c>
      <c r="H95" s="3">
        <v>16</v>
      </c>
      <c r="I95" s="3">
        <v>90.9</v>
      </c>
      <c r="J95" s="3">
        <v>1.64</v>
      </c>
      <c r="K95" s="3">
        <v>0</v>
      </c>
      <c r="L95" s="3">
        <v>4.5</v>
      </c>
      <c r="M95" s="3">
        <v>753473.55</v>
      </c>
      <c r="N95" s="3">
        <v>151527.22</v>
      </c>
    </row>
    <row r="96" spans="1:14">
      <c r="A96" s="3" t="s">
        <v>45</v>
      </c>
      <c r="B96" s="5">
        <v>45717</v>
      </c>
      <c r="C96" s="3" t="s">
        <v>27</v>
      </c>
      <c r="D96" s="3" t="s">
        <v>16</v>
      </c>
      <c r="E96" s="3">
        <v>86421.88</v>
      </c>
      <c r="F96" s="3">
        <v>7970</v>
      </c>
      <c r="G96" s="3">
        <v>7.2999999999999995E-2</v>
      </c>
      <c r="H96" s="3">
        <v>17</v>
      </c>
      <c r="I96" s="3">
        <v>91.3</v>
      </c>
      <c r="J96" s="3">
        <v>0.8</v>
      </c>
      <c r="K96" s="3">
        <v>0</v>
      </c>
      <c r="L96" s="3">
        <v>5</v>
      </c>
      <c r="M96" s="3">
        <v>838250.32</v>
      </c>
      <c r="N96" s="3">
        <v>122939.34</v>
      </c>
    </row>
    <row r="97" spans="1:14">
      <c r="A97" s="3" t="s">
        <v>45</v>
      </c>
      <c r="B97" s="5">
        <v>45748</v>
      </c>
      <c r="C97" s="3" t="s">
        <v>27</v>
      </c>
      <c r="D97" s="3" t="s">
        <v>16</v>
      </c>
      <c r="E97" s="3">
        <v>9534.65</v>
      </c>
      <c r="F97" s="3">
        <v>6057</v>
      </c>
      <c r="G97" s="3">
        <v>7.3999999999999996E-2</v>
      </c>
      <c r="H97" s="3">
        <v>15</v>
      </c>
      <c r="I97" s="3">
        <v>94.1</v>
      </c>
      <c r="J97" s="3">
        <v>5.79</v>
      </c>
      <c r="K97" s="3">
        <v>0</v>
      </c>
      <c r="L97" s="3">
        <v>4.5</v>
      </c>
      <c r="M97" s="3">
        <v>607898.12</v>
      </c>
      <c r="N97" s="3">
        <v>135404.85</v>
      </c>
    </row>
    <row r="98" spans="1:14">
      <c r="A98" s="3" t="s">
        <v>46</v>
      </c>
      <c r="B98" s="5">
        <v>45658</v>
      </c>
      <c r="C98" s="3" t="s">
        <v>27</v>
      </c>
      <c r="D98" s="3" t="s">
        <v>28</v>
      </c>
      <c r="E98" s="3">
        <v>61132.07</v>
      </c>
      <c r="F98" s="3">
        <v>6394</v>
      </c>
      <c r="G98" s="3">
        <v>0.16300000000000001</v>
      </c>
      <c r="H98" s="3">
        <v>19</v>
      </c>
      <c r="I98" s="3">
        <v>91</v>
      </c>
      <c r="J98" s="3">
        <v>19.600000000000001</v>
      </c>
      <c r="K98" s="3">
        <v>0</v>
      </c>
      <c r="L98" s="3">
        <v>4.4000000000000004</v>
      </c>
      <c r="M98" s="3">
        <v>691113.62</v>
      </c>
      <c r="N98" s="3">
        <v>135145.44</v>
      </c>
    </row>
    <row r="99" spans="1:14">
      <c r="A99" s="3" t="s">
        <v>46</v>
      </c>
      <c r="B99" s="5">
        <v>45689</v>
      </c>
      <c r="C99" s="3" t="s">
        <v>27</v>
      </c>
      <c r="D99" s="3" t="s">
        <v>28</v>
      </c>
      <c r="E99" s="3">
        <v>78839.39</v>
      </c>
      <c r="F99" s="3">
        <v>5150</v>
      </c>
      <c r="G99" s="3">
        <v>0.17100000000000001</v>
      </c>
      <c r="H99" s="3">
        <v>13</v>
      </c>
      <c r="I99" s="3">
        <v>85.8</v>
      </c>
      <c r="J99" s="3">
        <v>7.57</v>
      </c>
      <c r="K99" s="3">
        <v>0</v>
      </c>
      <c r="L99" s="3">
        <v>4.3</v>
      </c>
      <c r="M99" s="3">
        <v>735509.4</v>
      </c>
      <c r="N99" s="3">
        <v>83895.96</v>
      </c>
    </row>
    <row r="100" spans="1:14">
      <c r="A100" s="3" t="s">
        <v>46</v>
      </c>
      <c r="B100" s="5">
        <v>45717</v>
      </c>
      <c r="C100" s="3" t="s">
        <v>27</v>
      </c>
      <c r="D100" s="3" t="s">
        <v>28</v>
      </c>
      <c r="E100" s="3">
        <v>38752.800000000003</v>
      </c>
      <c r="F100" s="3">
        <v>4712</v>
      </c>
      <c r="G100" s="3">
        <v>7.4999999999999997E-2</v>
      </c>
      <c r="H100" s="3">
        <v>15</v>
      </c>
      <c r="I100" s="3">
        <v>89.7</v>
      </c>
      <c r="J100" s="3"/>
      <c r="K100" s="3">
        <v>0</v>
      </c>
      <c r="L100" s="3">
        <v>4.3</v>
      </c>
      <c r="M100" s="3">
        <v>605775.32999999996</v>
      </c>
      <c r="N100" s="3">
        <v>107194.6</v>
      </c>
    </row>
    <row r="101" spans="1:14">
      <c r="A101" s="3" t="s">
        <v>46</v>
      </c>
      <c r="B101" s="5">
        <v>45748</v>
      </c>
      <c r="C101" s="3" t="s">
        <v>27</v>
      </c>
      <c r="D101" s="3" t="s">
        <v>28</v>
      </c>
      <c r="E101" s="3">
        <v>55101.1</v>
      </c>
      <c r="F101" s="3">
        <v>5281</v>
      </c>
      <c r="G101" s="3">
        <v>0.189</v>
      </c>
      <c r="H101" s="3">
        <v>11</v>
      </c>
      <c r="I101" s="3">
        <v>91</v>
      </c>
      <c r="J101" s="3">
        <v>2.7</v>
      </c>
      <c r="K101" s="3">
        <v>0</v>
      </c>
      <c r="L101" s="3">
        <v>4.4000000000000004</v>
      </c>
      <c r="M101" s="3">
        <v>675177.68</v>
      </c>
      <c r="N101" s="3">
        <v>105628.68</v>
      </c>
    </row>
    <row r="102" spans="1:14">
      <c r="A102" s="3" t="s">
        <v>47</v>
      </c>
      <c r="B102" s="5">
        <v>45658</v>
      </c>
      <c r="C102" s="3" t="s">
        <v>15</v>
      </c>
      <c r="D102" s="3" t="s">
        <v>28</v>
      </c>
      <c r="E102" s="3">
        <v>53084.76</v>
      </c>
      <c r="F102" s="3">
        <v>3642</v>
      </c>
      <c r="G102" s="3">
        <v>0.15</v>
      </c>
      <c r="H102" s="3">
        <v>12</v>
      </c>
      <c r="I102" s="3">
        <v>91.4</v>
      </c>
      <c r="J102" s="3">
        <v>0.2</v>
      </c>
      <c r="K102" s="3">
        <v>0</v>
      </c>
      <c r="L102" s="3">
        <v>4.4000000000000004</v>
      </c>
      <c r="M102" s="3">
        <v>635181.35</v>
      </c>
      <c r="N102" s="3">
        <v>83341.25</v>
      </c>
    </row>
    <row r="103" spans="1:14">
      <c r="A103" s="3" t="s">
        <v>47</v>
      </c>
      <c r="B103" s="5">
        <v>45689</v>
      </c>
      <c r="C103" s="3" t="s">
        <v>15</v>
      </c>
      <c r="D103" s="3" t="s">
        <v>28</v>
      </c>
      <c r="E103" s="3">
        <v>63101.59</v>
      </c>
      <c r="F103" s="3">
        <v>4373</v>
      </c>
      <c r="G103" s="3">
        <v>0.17299999999999999</v>
      </c>
      <c r="H103" s="3">
        <v>14</v>
      </c>
      <c r="I103" s="3">
        <v>90.4</v>
      </c>
      <c r="J103" s="3">
        <v>7.87</v>
      </c>
      <c r="K103" s="3">
        <v>0</v>
      </c>
      <c r="L103" s="3">
        <v>4.7</v>
      </c>
      <c r="M103" s="3">
        <v>586626.93999999994</v>
      </c>
      <c r="N103" s="3">
        <v>86498.55</v>
      </c>
    </row>
    <row r="104" spans="1:14">
      <c r="A104" s="3" t="s">
        <v>47</v>
      </c>
      <c r="B104" s="5">
        <v>45717</v>
      </c>
      <c r="C104" s="3" t="s">
        <v>15</v>
      </c>
      <c r="D104" s="3" t="s">
        <v>28</v>
      </c>
      <c r="E104" s="3">
        <v>90084.4</v>
      </c>
      <c r="F104" s="3">
        <v>6832</v>
      </c>
      <c r="G104" s="3">
        <v>0.185</v>
      </c>
      <c r="H104" s="3">
        <v>14</v>
      </c>
      <c r="I104" s="3">
        <v>80.5</v>
      </c>
      <c r="J104" s="3">
        <v>0.77</v>
      </c>
      <c r="K104" s="3">
        <v>1</v>
      </c>
      <c r="L104" s="3">
        <v>4.4000000000000004</v>
      </c>
      <c r="M104" s="3">
        <v>740102.64</v>
      </c>
      <c r="N104" s="3">
        <v>114299.07</v>
      </c>
    </row>
    <row r="105" spans="1:14">
      <c r="A105" s="3" t="s">
        <v>47</v>
      </c>
      <c r="B105" s="5">
        <v>45748</v>
      </c>
      <c r="C105" s="3" t="s">
        <v>15</v>
      </c>
      <c r="D105" s="3" t="s">
        <v>28</v>
      </c>
      <c r="E105" s="3">
        <v>32266.639999999999</v>
      </c>
      <c r="F105" s="3">
        <v>2414</v>
      </c>
      <c r="G105" s="3">
        <v>0.08</v>
      </c>
      <c r="H105" s="3">
        <v>7</v>
      </c>
      <c r="I105" s="3">
        <v>92.1</v>
      </c>
      <c r="J105" s="3">
        <v>1.48</v>
      </c>
      <c r="K105" s="3">
        <v>0</v>
      </c>
      <c r="L105" s="3">
        <v>5</v>
      </c>
      <c r="M105" s="3">
        <v>625514.04</v>
      </c>
      <c r="N105" s="3">
        <v>120685.08</v>
      </c>
    </row>
    <row r="106" spans="1:14">
      <c r="A106" s="3" t="s">
        <v>48</v>
      </c>
      <c r="B106" s="5">
        <v>45658</v>
      </c>
      <c r="C106" s="3" t="s">
        <v>27</v>
      </c>
      <c r="D106" s="3" t="s">
        <v>18</v>
      </c>
      <c r="E106" s="3">
        <v>57919.07</v>
      </c>
      <c r="F106" s="3">
        <v>7374</v>
      </c>
      <c r="G106" s="3">
        <v>0.10299999999999999</v>
      </c>
      <c r="H106" s="3">
        <v>21</v>
      </c>
      <c r="I106" s="3">
        <v>82.3</v>
      </c>
      <c r="J106" s="3">
        <v>2.87</v>
      </c>
      <c r="K106" s="3">
        <v>0</v>
      </c>
      <c r="L106" s="3">
        <v>2.9</v>
      </c>
      <c r="M106" s="3">
        <v>727227.2</v>
      </c>
      <c r="N106" s="3">
        <v>121292.01</v>
      </c>
    </row>
    <row r="107" spans="1:14">
      <c r="A107" s="3" t="s">
        <v>48</v>
      </c>
      <c r="B107" s="5">
        <v>45689</v>
      </c>
      <c r="C107" s="3" t="s">
        <v>27</v>
      </c>
      <c r="D107" s="3" t="s">
        <v>18</v>
      </c>
      <c r="E107" s="3">
        <v>74679.350000000006</v>
      </c>
      <c r="F107" s="3">
        <v>8739</v>
      </c>
      <c r="G107" s="3">
        <v>5.6000000000000001E-2</v>
      </c>
      <c r="H107" s="3">
        <v>21</v>
      </c>
      <c r="I107" s="3">
        <v>91.8</v>
      </c>
      <c r="J107" s="3">
        <v>2.83</v>
      </c>
      <c r="K107" s="3">
        <v>0</v>
      </c>
      <c r="L107" s="3">
        <v>3</v>
      </c>
      <c r="M107" s="3">
        <v>783797.89</v>
      </c>
      <c r="N107" s="3">
        <v>157620.70000000001</v>
      </c>
    </row>
    <row r="108" spans="1:14">
      <c r="A108" s="3" t="s">
        <v>48</v>
      </c>
      <c r="B108" s="5">
        <v>45717</v>
      </c>
      <c r="C108" s="3" t="s">
        <v>27</v>
      </c>
      <c r="D108" s="3" t="s">
        <v>18</v>
      </c>
      <c r="E108" s="3">
        <v>64294.23</v>
      </c>
      <c r="F108" s="3">
        <v>6992</v>
      </c>
      <c r="G108" s="3">
        <v>0.13300000000000001</v>
      </c>
      <c r="H108" s="3">
        <v>14</v>
      </c>
      <c r="I108" s="3">
        <v>94.1</v>
      </c>
      <c r="J108" s="3">
        <v>0.25</v>
      </c>
      <c r="K108" s="3">
        <v>0</v>
      </c>
      <c r="L108" s="3">
        <v>3</v>
      </c>
      <c r="M108" s="3">
        <v>795153.84</v>
      </c>
      <c r="N108" s="3">
        <v>143194.21</v>
      </c>
    </row>
    <row r="109" spans="1:14">
      <c r="A109" s="3" t="s">
        <v>48</v>
      </c>
      <c r="B109" s="5">
        <v>45748</v>
      </c>
      <c r="C109" s="3" t="s">
        <v>27</v>
      </c>
      <c r="D109" s="3" t="s">
        <v>18</v>
      </c>
      <c r="E109" s="3">
        <v>31042.03</v>
      </c>
      <c r="F109" s="3">
        <v>7107</v>
      </c>
      <c r="G109" s="3">
        <v>5.0999999999999997E-2</v>
      </c>
      <c r="H109" s="3">
        <v>15</v>
      </c>
      <c r="I109" s="3">
        <v>87</v>
      </c>
      <c r="J109" s="3">
        <v>13.33</v>
      </c>
      <c r="K109" s="3">
        <v>0</v>
      </c>
      <c r="L109" s="3">
        <v>3.2</v>
      </c>
      <c r="M109" s="3">
        <v>665594.93999999994</v>
      </c>
      <c r="N109" s="3">
        <v>127597.34</v>
      </c>
    </row>
    <row r="110" spans="1:14">
      <c r="A110" s="3" t="s">
        <v>49</v>
      </c>
      <c r="B110" s="5">
        <v>45658</v>
      </c>
      <c r="C110" s="3" t="s">
        <v>15</v>
      </c>
      <c r="D110" s="3" t="s">
        <v>28</v>
      </c>
      <c r="E110" s="3">
        <v>75265.02</v>
      </c>
      <c r="F110" s="3">
        <v>6975</v>
      </c>
      <c r="G110" s="3">
        <v>0.157</v>
      </c>
      <c r="H110" s="3">
        <v>20</v>
      </c>
      <c r="I110" s="3">
        <v>73.8</v>
      </c>
      <c r="J110" s="3">
        <v>6.35</v>
      </c>
      <c r="K110" s="3">
        <v>1</v>
      </c>
      <c r="L110" s="3">
        <v>3.8</v>
      </c>
      <c r="M110" s="3">
        <v>709478.39</v>
      </c>
      <c r="N110" s="3">
        <v>71294.27</v>
      </c>
    </row>
    <row r="111" spans="1:14">
      <c r="A111" s="3" t="s">
        <v>49</v>
      </c>
      <c r="B111" s="5">
        <v>45689</v>
      </c>
      <c r="C111" s="3" t="s">
        <v>15</v>
      </c>
      <c r="D111" s="3" t="s">
        <v>28</v>
      </c>
      <c r="E111" s="3">
        <v>69411.7</v>
      </c>
      <c r="F111" s="3">
        <v>5493</v>
      </c>
      <c r="G111" s="3">
        <v>0.29199999999999998</v>
      </c>
      <c r="H111" s="3">
        <v>13</v>
      </c>
      <c r="I111" s="3">
        <v>86.5</v>
      </c>
      <c r="J111" s="3">
        <v>6.69</v>
      </c>
      <c r="K111" s="3">
        <v>0</v>
      </c>
      <c r="L111" s="3">
        <v>3.8</v>
      </c>
      <c r="M111" s="3">
        <v>664162.49</v>
      </c>
      <c r="N111" s="3">
        <v>98291.06</v>
      </c>
    </row>
    <row r="112" spans="1:14">
      <c r="A112" s="3" t="s">
        <v>49</v>
      </c>
      <c r="B112" s="5">
        <v>45717</v>
      </c>
      <c r="C112" s="3" t="s">
        <v>15</v>
      </c>
      <c r="D112" s="3" t="s">
        <v>28</v>
      </c>
      <c r="E112" s="3">
        <v>51056.15</v>
      </c>
      <c r="F112" s="3">
        <v>5686</v>
      </c>
      <c r="G112" s="3">
        <v>8.8999999999999996E-2</v>
      </c>
      <c r="H112" s="3">
        <v>13</v>
      </c>
      <c r="I112" s="3">
        <v>89.9</v>
      </c>
      <c r="J112" s="3">
        <v>1.28</v>
      </c>
      <c r="K112" s="3">
        <v>0</v>
      </c>
      <c r="L112" s="3">
        <v>4.2</v>
      </c>
      <c r="M112" s="3">
        <v>633494.21</v>
      </c>
      <c r="N112" s="3">
        <v>105739.47</v>
      </c>
    </row>
    <row r="113" spans="1:14">
      <c r="A113" s="3" t="s">
        <v>49</v>
      </c>
      <c r="B113" s="5">
        <v>45748</v>
      </c>
      <c r="C113" s="3" t="s">
        <v>15</v>
      </c>
      <c r="D113" s="3" t="s">
        <v>28</v>
      </c>
      <c r="E113" s="3">
        <v>52758.01</v>
      </c>
      <c r="F113" s="3">
        <v>4063</v>
      </c>
      <c r="G113" s="3">
        <v>5.7000000000000002E-2</v>
      </c>
      <c r="H113" s="3">
        <v>12</v>
      </c>
      <c r="I113" s="3">
        <v>91.7</v>
      </c>
      <c r="J113" s="3">
        <v>0.92</v>
      </c>
      <c r="K113" s="3">
        <v>0</v>
      </c>
      <c r="L113" s="3">
        <v>3.5</v>
      </c>
      <c r="M113" s="3">
        <v>713611.16</v>
      </c>
      <c r="N113" s="3">
        <v>129717.18</v>
      </c>
    </row>
    <row r="114" spans="1:14">
      <c r="A114" s="3" t="s">
        <v>50</v>
      </c>
      <c r="B114" s="5">
        <v>45658</v>
      </c>
      <c r="C114" s="3" t="s">
        <v>27</v>
      </c>
      <c r="D114" s="3" t="s">
        <v>28</v>
      </c>
      <c r="E114" s="3">
        <v>61426.04</v>
      </c>
      <c r="F114" s="3">
        <v>8966</v>
      </c>
      <c r="G114" s="3">
        <v>0.17299999999999999</v>
      </c>
      <c r="H114" s="3">
        <v>22</v>
      </c>
      <c r="I114" s="3">
        <v>76.400000000000006</v>
      </c>
      <c r="J114" s="3">
        <v>1.05</v>
      </c>
      <c r="K114" s="3">
        <v>0</v>
      </c>
      <c r="L114" s="3">
        <v>3.1</v>
      </c>
      <c r="M114" s="3">
        <v>778397.97</v>
      </c>
      <c r="N114" s="3">
        <v>120044.41</v>
      </c>
    </row>
    <row r="115" spans="1:14">
      <c r="A115" s="3" t="s">
        <v>50</v>
      </c>
      <c r="B115" s="5">
        <v>45689</v>
      </c>
      <c r="C115" s="3" t="s">
        <v>27</v>
      </c>
      <c r="D115" s="3" t="s">
        <v>28</v>
      </c>
      <c r="E115" s="3">
        <v>80176.34</v>
      </c>
      <c r="F115" s="3">
        <v>9489</v>
      </c>
      <c r="G115" s="3">
        <v>0.14199999999999999</v>
      </c>
      <c r="H115" s="3">
        <v>22</v>
      </c>
      <c r="I115" s="3">
        <v>94.3</v>
      </c>
      <c r="J115" s="3">
        <v>2.67</v>
      </c>
      <c r="K115" s="3">
        <v>0</v>
      </c>
      <c r="L115" s="3">
        <v>3.5</v>
      </c>
      <c r="M115" s="3">
        <v>873380.02</v>
      </c>
      <c r="N115" s="3">
        <v>149734.76</v>
      </c>
    </row>
    <row r="116" spans="1:14">
      <c r="A116" s="3" t="s">
        <v>50</v>
      </c>
      <c r="B116" s="5">
        <v>45717</v>
      </c>
      <c r="C116" s="3" t="s">
        <v>27</v>
      </c>
      <c r="D116" s="3" t="s">
        <v>28</v>
      </c>
      <c r="E116" s="3">
        <v>33605.18</v>
      </c>
      <c r="F116" s="3">
        <v>9225</v>
      </c>
      <c r="G116" s="3">
        <v>0.159</v>
      </c>
      <c r="H116" s="3">
        <v>23</v>
      </c>
      <c r="I116" s="3">
        <v>88.4</v>
      </c>
      <c r="J116" s="3">
        <v>5.91</v>
      </c>
      <c r="K116" s="3">
        <v>0</v>
      </c>
      <c r="L116" s="3">
        <v>2.8</v>
      </c>
      <c r="M116" s="3">
        <v>697287.9</v>
      </c>
      <c r="N116" s="3">
        <v>128208.33</v>
      </c>
    </row>
    <row r="117" spans="1:14">
      <c r="A117" s="3" t="s">
        <v>50</v>
      </c>
      <c r="B117" s="5">
        <v>45748</v>
      </c>
      <c r="C117" s="3" t="s">
        <v>27</v>
      </c>
      <c r="D117" s="3" t="s">
        <v>28</v>
      </c>
      <c r="E117" s="3">
        <v>25990.54</v>
      </c>
      <c r="F117" s="3">
        <v>9249</v>
      </c>
      <c r="G117" s="3">
        <v>0.13900000000000001</v>
      </c>
      <c r="H117" s="3">
        <v>23</v>
      </c>
      <c r="I117" s="3">
        <v>92.5</v>
      </c>
      <c r="J117" s="3">
        <v>6.37</v>
      </c>
      <c r="K117" s="3">
        <v>0</v>
      </c>
      <c r="L117" s="3">
        <v>3.3</v>
      </c>
      <c r="M117" s="3">
        <v>718074.79</v>
      </c>
      <c r="N117" s="3">
        <v>115819.87</v>
      </c>
    </row>
    <row r="118" spans="1:14">
      <c r="A118" s="3" t="s">
        <v>51</v>
      </c>
      <c r="B118" s="5">
        <v>45658</v>
      </c>
      <c r="C118" s="3" t="s">
        <v>27</v>
      </c>
      <c r="D118" s="3" t="s">
        <v>16</v>
      </c>
      <c r="E118" s="3">
        <v>43685.14</v>
      </c>
      <c r="F118" s="3">
        <v>7821</v>
      </c>
      <c r="G118" s="3">
        <v>0.19</v>
      </c>
      <c r="H118" s="3">
        <v>17</v>
      </c>
      <c r="I118" s="3">
        <v>91</v>
      </c>
      <c r="J118" s="3">
        <v>2.4900000000000002</v>
      </c>
      <c r="K118" s="3">
        <v>1</v>
      </c>
      <c r="L118" s="3">
        <v>4.7</v>
      </c>
      <c r="M118" s="3">
        <v>714942.43</v>
      </c>
      <c r="N118" s="3">
        <v>94697.71</v>
      </c>
    </row>
    <row r="119" spans="1:14">
      <c r="A119" s="3" t="s">
        <v>51</v>
      </c>
      <c r="B119" s="5">
        <v>45689</v>
      </c>
      <c r="C119" s="3" t="s">
        <v>27</v>
      </c>
      <c r="D119" s="3" t="s">
        <v>16</v>
      </c>
      <c r="E119" s="3">
        <v>57360.01</v>
      </c>
      <c r="F119" s="3">
        <v>8434</v>
      </c>
      <c r="G119" s="3">
        <v>0.151</v>
      </c>
      <c r="H119" s="3">
        <v>19</v>
      </c>
      <c r="I119" s="3">
        <v>84.1</v>
      </c>
      <c r="J119" s="3">
        <v>1.56</v>
      </c>
      <c r="K119" s="3">
        <v>0</v>
      </c>
      <c r="L119" s="3">
        <v>4.7</v>
      </c>
      <c r="M119" s="3">
        <v>820519.04</v>
      </c>
      <c r="N119" s="3">
        <v>99035.88</v>
      </c>
    </row>
    <row r="120" spans="1:14">
      <c r="A120" s="3" t="s">
        <v>51</v>
      </c>
      <c r="B120" s="5">
        <v>45717</v>
      </c>
      <c r="C120" s="3" t="s">
        <v>27</v>
      </c>
      <c r="D120" s="3" t="s">
        <v>16</v>
      </c>
      <c r="E120" s="3">
        <v>42415.47</v>
      </c>
      <c r="F120" s="3">
        <v>8512</v>
      </c>
      <c r="G120" s="3">
        <v>0.13300000000000001</v>
      </c>
      <c r="H120" s="3">
        <v>18</v>
      </c>
      <c r="I120" s="3">
        <v>96.8</v>
      </c>
      <c r="J120" s="3">
        <v>14.95</v>
      </c>
      <c r="K120" s="3">
        <v>0</v>
      </c>
      <c r="L120" s="3">
        <v>4.5999999999999996</v>
      </c>
      <c r="M120" s="3">
        <v>684217.32</v>
      </c>
      <c r="N120" s="3">
        <v>136217.19</v>
      </c>
    </row>
    <row r="121" spans="1:14">
      <c r="A121" s="3" t="s">
        <v>51</v>
      </c>
      <c r="B121" s="5">
        <v>45748</v>
      </c>
      <c r="C121" s="3" t="s">
        <v>27</v>
      </c>
      <c r="D121" s="3" t="s">
        <v>16</v>
      </c>
      <c r="E121" s="3">
        <v>54968.98</v>
      </c>
      <c r="F121" s="3">
        <v>7816</v>
      </c>
      <c r="G121" s="3">
        <v>0.23200000000000001</v>
      </c>
      <c r="H121" s="3">
        <v>19</v>
      </c>
      <c r="I121" s="3">
        <v>95.7</v>
      </c>
      <c r="J121" s="3">
        <v>7.85</v>
      </c>
      <c r="K121" s="3">
        <v>0</v>
      </c>
      <c r="L121" s="3">
        <v>4.7</v>
      </c>
      <c r="M121" s="3">
        <v>735480.19</v>
      </c>
      <c r="N121" s="3">
        <v>88342.11</v>
      </c>
    </row>
    <row r="122" spans="1:14">
      <c r="A122" s="3" t="s">
        <v>52</v>
      </c>
      <c r="B122" s="5">
        <v>45658</v>
      </c>
      <c r="C122" s="3" t="s">
        <v>20</v>
      </c>
      <c r="D122" s="3" t="s">
        <v>18</v>
      </c>
      <c r="E122" s="3">
        <v>43896.13</v>
      </c>
      <c r="F122" s="3">
        <v>3853</v>
      </c>
      <c r="G122" s="3">
        <v>8.7999999999999995E-2</v>
      </c>
      <c r="H122" s="3">
        <v>13</v>
      </c>
      <c r="I122" s="3">
        <v>83</v>
      </c>
      <c r="J122" s="3">
        <v>6.8</v>
      </c>
      <c r="K122" s="3">
        <v>0</v>
      </c>
      <c r="L122" s="3">
        <v>4.4000000000000004</v>
      </c>
      <c r="M122" s="3">
        <v>509484.81</v>
      </c>
      <c r="N122" s="3">
        <v>85742.36</v>
      </c>
    </row>
    <row r="123" spans="1:14">
      <c r="A123" s="3" t="s">
        <v>52</v>
      </c>
      <c r="B123" s="5">
        <v>45689</v>
      </c>
      <c r="C123" s="3" t="s">
        <v>20</v>
      </c>
      <c r="D123" s="3" t="s">
        <v>18</v>
      </c>
      <c r="E123" s="3">
        <v>83044.17</v>
      </c>
      <c r="F123" s="3">
        <v>3694</v>
      </c>
      <c r="G123" s="3">
        <v>0</v>
      </c>
      <c r="H123" s="3">
        <v>14</v>
      </c>
      <c r="I123" s="3">
        <v>89.4</v>
      </c>
      <c r="J123" s="3">
        <v>2.2000000000000002</v>
      </c>
      <c r="K123" s="3">
        <v>0</v>
      </c>
      <c r="L123" s="3">
        <v>3.7</v>
      </c>
      <c r="M123" s="3">
        <v>654317.09</v>
      </c>
      <c r="N123" s="3">
        <v>121446.89</v>
      </c>
    </row>
    <row r="124" spans="1:14">
      <c r="A124" s="3" t="s">
        <v>52</v>
      </c>
      <c r="B124" s="5">
        <v>45717</v>
      </c>
      <c r="C124" s="3" t="s">
        <v>20</v>
      </c>
      <c r="D124" s="3" t="s">
        <v>18</v>
      </c>
      <c r="E124" s="3">
        <v>48396.13</v>
      </c>
      <c r="F124" s="3">
        <v>4423</v>
      </c>
      <c r="G124" s="3">
        <v>6.9000000000000006E-2</v>
      </c>
      <c r="H124" s="3">
        <v>15</v>
      </c>
      <c r="I124" s="3">
        <v>85.7</v>
      </c>
      <c r="J124" s="3">
        <v>1.88</v>
      </c>
      <c r="K124" s="3">
        <v>0</v>
      </c>
      <c r="L124" s="3">
        <v>3.9</v>
      </c>
      <c r="M124" s="3">
        <v>557487.26</v>
      </c>
      <c r="N124" s="3">
        <v>76432.19</v>
      </c>
    </row>
    <row r="125" spans="1:14">
      <c r="A125" s="3" t="s">
        <v>52</v>
      </c>
      <c r="B125" s="5">
        <v>45748</v>
      </c>
      <c r="C125" s="3" t="s">
        <v>20</v>
      </c>
      <c r="D125" s="3" t="s">
        <v>18</v>
      </c>
      <c r="E125" s="3">
        <v>19063.48</v>
      </c>
      <c r="F125" s="3">
        <v>1906</v>
      </c>
      <c r="G125" s="3">
        <v>0.216</v>
      </c>
      <c r="H125" s="3">
        <v>10</v>
      </c>
      <c r="I125" s="3">
        <v>97.8</v>
      </c>
      <c r="J125" s="3">
        <v>15.79</v>
      </c>
      <c r="K125" s="3">
        <v>0</v>
      </c>
      <c r="L125" s="3">
        <v>4.4000000000000004</v>
      </c>
      <c r="M125" s="3">
        <v>441275.42</v>
      </c>
      <c r="N125" s="3">
        <v>58234.87</v>
      </c>
    </row>
    <row r="126" spans="1:14">
      <c r="A126" s="3" t="s">
        <v>53</v>
      </c>
      <c r="B126" s="5">
        <v>45658</v>
      </c>
      <c r="C126" s="3" t="s">
        <v>24</v>
      </c>
      <c r="D126" s="3" t="s">
        <v>18</v>
      </c>
      <c r="E126" s="3">
        <v>61541.21</v>
      </c>
      <c r="F126" s="3">
        <v>10396</v>
      </c>
      <c r="G126" s="3">
        <v>0.123</v>
      </c>
      <c r="H126" s="3">
        <v>25</v>
      </c>
      <c r="I126" s="3">
        <v>88.1</v>
      </c>
      <c r="J126" s="3">
        <v>2.34</v>
      </c>
      <c r="K126" s="3">
        <v>1</v>
      </c>
      <c r="L126" s="3">
        <v>4.8</v>
      </c>
      <c r="M126" s="3">
        <v>914544.17</v>
      </c>
      <c r="N126" s="3">
        <v>79831.73</v>
      </c>
    </row>
    <row r="127" spans="1:14">
      <c r="A127" s="3" t="s">
        <v>53</v>
      </c>
      <c r="B127" s="5">
        <v>45689</v>
      </c>
      <c r="C127" s="3" t="s">
        <v>24</v>
      </c>
      <c r="D127" s="3" t="s">
        <v>18</v>
      </c>
      <c r="E127" s="3">
        <v>44747</v>
      </c>
      <c r="F127" s="3">
        <v>11076</v>
      </c>
      <c r="G127" s="3">
        <v>0.17599999999999999</v>
      </c>
      <c r="H127" s="3">
        <v>27</v>
      </c>
      <c r="I127" s="3">
        <v>98.3</v>
      </c>
      <c r="J127" s="3">
        <v>0.54</v>
      </c>
      <c r="K127" s="3">
        <v>0</v>
      </c>
      <c r="L127" s="3">
        <v>4.4000000000000004</v>
      </c>
      <c r="M127" s="3">
        <v>842439.67</v>
      </c>
      <c r="N127" s="3">
        <v>169983.63</v>
      </c>
    </row>
    <row r="128" spans="1:14">
      <c r="A128" s="3" t="s">
        <v>53</v>
      </c>
      <c r="B128" s="5">
        <v>45717</v>
      </c>
      <c r="C128" s="3" t="s">
        <v>24</v>
      </c>
      <c r="D128" s="3" t="s">
        <v>18</v>
      </c>
      <c r="E128" s="3">
        <v>56517.9</v>
      </c>
      <c r="F128" s="3">
        <v>9574</v>
      </c>
      <c r="G128" s="3">
        <v>0.20399999999999999</v>
      </c>
      <c r="H128" s="3">
        <v>20</v>
      </c>
      <c r="I128" s="3">
        <v>88.2</v>
      </c>
      <c r="J128" s="3">
        <v>5.37</v>
      </c>
      <c r="K128" s="3">
        <v>1</v>
      </c>
      <c r="L128" s="3">
        <v>4.9000000000000004</v>
      </c>
      <c r="M128" s="3">
        <v>842157.92</v>
      </c>
      <c r="N128" s="3">
        <v>107348.22</v>
      </c>
    </row>
    <row r="129" spans="1:14">
      <c r="A129" s="3" t="s">
        <v>53</v>
      </c>
      <c r="B129" s="5">
        <v>45748</v>
      </c>
      <c r="C129" s="3" t="s">
        <v>24</v>
      </c>
      <c r="D129" s="3" t="s">
        <v>18</v>
      </c>
      <c r="E129" s="3">
        <v>37828.5</v>
      </c>
      <c r="F129" s="3">
        <v>8221</v>
      </c>
      <c r="G129" s="3">
        <v>9.6000000000000002E-2</v>
      </c>
      <c r="H129" s="3">
        <v>19</v>
      </c>
      <c r="I129" s="3">
        <v>81.5</v>
      </c>
      <c r="J129" s="3">
        <v>3.19</v>
      </c>
      <c r="K129" s="3">
        <v>0</v>
      </c>
      <c r="L129" s="3">
        <v>4.8</v>
      </c>
      <c r="M129" s="3">
        <v>697155.3</v>
      </c>
      <c r="N129" s="3">
        <v>136408.54</v>
      </c>
    </row>
    <row r="130" spans="1:14">
      <c r="A130" s="3" t="s">
        <v>54</v>
      </c>
      <c r="B130" s="5">
        <v>45658</v>
      </c>
      <c r="C130" s="3" t="s">
        <v>15</v>
      </c>
      <c r="D130" s="3" t="s">
        <v>18</v>
      </c>
      <c r="E130" s="3">
        <v>66250.53</v>
      </c>
      <c r="F130" s="3">
        <v>10618</v>
      </c>
      <c r="G130" s="3">
        <v>0.14199999999999999</v>
      </c>
      <c r="H130" s="3">
        <v>27</v>
      </c>
      <c r="I130" s="3">
        <v>88.3</v>
      </c>
      <c r="J130" s="3">
        <v>1.1000000000000001</v>
      </c>
      <c r="K130" s="3">
        <v>1</v>
      </c>
      <c r="L130" s="3">
        <v>4.4000000000000004</v>
      </c>
      <c r="M130" s="3">
        <v>849018.3</v>
      </c>
      <c r="N130" s="3">
        <v>149035.13</v>
      </c>
    </row>
    <row r="131" spans="1:14">
      <c r="A131" s="3" t="s">
        <v>54</v>
      </c>
      <c r="B131" s="5">
        <v>45689</v>
      </c>
      <c r="C131" s="3" t="s">
        <v>15</v>
      </c>
      <c r="D131" s="3" t="s">
        <v>18</v>
      </c>
      <c r="E131" s="3">
        <v>68410.929999999993</v>
      </c>
      <c r="F131" s="3">
        <v>10596</v>
      </c>
      <c r="G131" s="3">
        <v>0.20699999999999999</v>
      </c>
      <c r="H131" s="3">
        <v>25</v>
      </c>
      <c r="I131" s="3">
        <v>81.2</v>
      </c>
      <c r="J131" s="3">
        <v>0.21</v>
      </c>
      <c r="K131" s="3">
        <v>0</v>
      </c>
      <c r="L131" s="3">
        <v>4</v>
      </c>
      <c r="M131" s="3">
        <v>801830.35</v>
      </c>
      <c r="N131" s="3">
        <v>114875.32</v>
      </c>
    </row>
    <row r="132" spans="1:14">
      <c r="A132" s="3" t="s">
        <v>54</v>
      </c>
      <c r="B132" s="5">
        <v>45717</v>
      </c>
      <c r="C132" s="3" t="s">
        <v>15</v>
      </c>
      <c r="D132" s="3" t="s">
        <v>18</v>
      </c>
      <c r="E132" s="3">
        <v>50735.63</v>
      </c>
      <c r="F132" s="3">
        <v>9619</v>
      </c>
      <c r="G132" s="3">
        <v>0.14399999999999999</v>
      </c>
      <c r="H132" s="3">
        <v>19</v>
      </c>
      <c r="I132" s="3">
        <v>93.8</v>
      </c>
      <c r="J132" s="3">
        <v>5.12</v>
      </c>
      <c r="K132" s="3">
        <v>1</v>
      </c>
      <c r="L132" s="3">
        <v>4.5</v>
      </c>
      <c r="M132" s="3">
        <v>725235.28</v>
      </c>
      <c r="N132" s="3">
        <v>121632.24</v>
      </c>
    </row>
    <row r="133" spans="1:14">
      <c r="A133" s="3" t="s">
        <v>54</v>
      </c>
      <c r="B133" s="5">
        <v>45748</v>
      </c>
      <c r="C133" s="3" t="s">
        <v>15</v>
      </c>
      <c r="D133" s="3" t="s">
        <v>18</v>
      </c>
      <c r="E133" s="3">
        <v>66455.8</v>
      </c>
      <c r="F133" s="3">
        <v>10836</v>
      </c>
      <c r="G133" s="3">
        <v>8.8999999999999996E-2</v>
      </c>
      <c r="H133" s="3">
        <v>25</v>
      </c>
      <c r="I133" s="3">
        <v>85</v>
      </c>
      <c r="J133" s="3">
        <v>9.77</v>
      </c>
      <c r="K133" s="3">
        <v>0</v>
      </c>
      <c r="L133" s="3">
        <v>4.5</v>
      </c>
      <c r="M133" s="3">
        <v>811452.72</v>
      </c>
      <c r="N133" s="3">
        <v>131325.67000000001</v>
      </c>
    </row>
    <row r="134" spans="1:14">
      <c r="A134" s="3" t="s">
        <v>55</v>
      </c>
      <c r="B134" s="5">
        <v>45658</v>
      </c>
      <c r="C134" s="3" t="s">
        <v>20</v>
      </c>
      <c r="D134" s="3" t="s">
        <v>18</v>
      </c>
      <c r="E134" s="3">
        <v>70276.28</v>
      </c>
      <c r="F134" s="3">
        <v>3043</v>
      </c>
      <c r="G134" s="3">
        <v>7.9000000000000001E-2</v>
      </c>
      <c r="H134" s="3">
        <v>9</v>
      </c>
      <c r="I134" s="3">
        <v>87.9</v>
      </c>
      <c r="J134" s="3">
        <v>3.77</v>
      </c>
      <c r="K134" s="3">
        <v>0</v>
      </c>
      <c r="L134" s="3">
        <v>4.4000000000000004</v>
      </c>
      <c r="M134" s="3">
        <v>527300.13</v>
      </c>
      <c r="N134" s="3">
        <v>84197.87</v>
      </c>
    </row>
    <row r="135" spans="1:14">
      <c r="A135" s="3" t="s">
        <v>55</v>
      </c>
      <c r="B135" s="5">
        <v>45689</v>
      </c>
      <c r="C135" s="3" t="s">
        <v>20</v>
      </c>
      <c r="D135" s="3" t="s">
        <v>18</v>
      </c>
      <c r="E135" s="3">
        <v>22071.64</v>
      </c>
      <c r="F135" s="3">
        <v>1814</v>
      </c>
      <c r="G135" s="3">
        <v>0.19600000000000001</v>
      </c>
      <c r="H135" s="3">
        <v>8</v>
      </c>
      <c r="I135" s="3">
        <v>81.099999999999994</v>
      </c>
      <c r="J135" s="3">
        <v>0.78</v>
      </c>
      <c r="K135" s="3">
        <v>0</v>
      </c>
      <c r="L135" s="3"/>
      <c r="M135" s="3">
        <v>400831.65</v>
      </c>
      <c r="N135" s="3">
        <v>70979.31</v>
      </c>
    </row>
    <row r="136" spans="1:14">
      <c r="A136" s="3" t="s">
        <v>55</v>
      </c>
      <c r="B136" s="5">
        <v>45717</v>
      </c>
      <c r="C136" s="3" t="s">
        <v>20</v>
      </c>
      <c r="D136" s="3" t="s">
        <v>18</v>
      </c>
      <c r="E136" s="3">
        <v>52285.45</v>
      </c>
      <c r="F136" s="3">
        <v>3618</v>
      </c>
      <c r="G136" s="3">
        <v>8.5999999999999993E-2</v>
      </c>
      <c r="H136" s="3">
        <v>11</v>
      </c>
      <c r="I136" s="3">
        <v>95.6</v>
      </c>
      <c r="J136" s="3">
        <v>5.17</v>
      </c>
      <c r="K136" s="3">
        <v>1</v>
      </c>
      <c r="L136" s="3">
        <v>4.4000000000000004</v>
      </c>
      <c r="M136" s="3">
        <v>593247.25</v>
      </c>
      <c r="N136" s="3">
        <v>81240.289999999994</v>
      </c>
    </row>
    <row r="137" spans="1:14">
      <c r="A137" s="3" t="s">
        <v>55</v>
      </c>
      <c r="B137" s="5">
        <v>45748</v>
      </c>
      <c r="C137" s="3" t="s">
        <v>20</v>
      </c>
      <c r="D137" s="3" t="s">
        <v>18</v>
      </c>
      <c r="E137" s="3">
        <v>70366.759999999995</v>
      </c>
      <c r="F137" s="3">
        <v>1963</v>
      </c>
      <c r="G137" s="3">
        <v>0.182</v>
      </c>
      <c r="H137" s="3">
        <v>8</v>
      </c>
      <c r="I137" s="3">
        <v>89.8</v>
      </c>
      <c r="J137" s="3">
        <v>3.2</v>
      </c>
      <c r="K137" s="3">
        <v>0</v>
      </c>
      <c r="L137" s="3">
        <v>4.5999999999999996</v>
      </c>
      <c r="M137" s="3">
        <v>529075.94999999995</v>
      </c>
      <c r="N137" s="3">
        <v>95978.83</v>
      </c>
    </row>
    <row r="138" spans="1:14">
      <c r="A138" s="3" t="s">
        <v>56</v>
      </c>
      <c r="B138" s="5">
        <v>45658</v>
      </c>
      <c r="C138" s="3" t="s">
        <v>24</v>
      </c>
      <c r="D138" s="3" t="s">
        <v>16</v>
      </c>
      <c r="E138" s="3">
        <v>71320.66</v>
      </c>
      <c r="F138" s="3">
        <v>7888</v>
      </c>
      <c r="G138" s="3">
        <v>4.8000000000000001E-2</v>
      </c>
      <c r="H138" s="3">
        <v>20</v>
      </c>
      <c r="I138" s="3">
        <v>78.099999999999994</v>
      </c>
      <c r="J138" s="3">
        <v>3.4</v>
      </c>
      <c r="K138" s="3">
        <v>0</v>
      </c>
      <c r="L138" s="3"/>
      <c r="M138" s="3">
        <v>633638.03</v>
      </c>
      <c r="N138" s="3">
        <v>99402.01</v>
      </c>
    </row>
    <row r="139" spans="1:14">
      <c r="A139" s="3" t="s">
        <v>56</v>
      </c>
      <c r="B139" s="5">
        <v>45689</v>
      </c>
      <c r="C139" s="3" t="s">
        <v>24</v>
      </c>
      <c r="D139" s="3" t="s">
        <v>16</v>
      </c>
      <c r="E139" s="3">
        <v>75109.67</v>
      </c>
      <c r="F139" s="3">
        <v>6244</v>
      </c>
      <c r="G139" s="3">
        <v>7.9000000000000001E-2</v>
      </c>
      <c r="H139" s="3">
        <v>15</v>
      </c>
      <c r="I139" s="3">
        <v>96.3</v>
      </c>
      <c r="J139" s="3">
        <v>7.38</v>
      </c>
      <c r="K139" s="3">
        <v>0</v>
      </c>
      <c r="L139" s="3">
        <v>3.7</v>
      </c>
      <c r="M139" s="3">
        <v>743348.84</v>
      </c>
      <c r="N139" s="3">
        <v>104186.09</v>
      </c>
    </row>
    <row r="140" spans="1:14">
      <c r="A140" s="3" t="s">
        <v>56</v>
      </c>
      <c r="B140" s="5">
        <v>45717</v>
      </c>
      <c r="C140" s="3" t="s">
        <v>24</v>
      </c>
      <c r="D140" s="3" t="s">
        <v>16</v>
      </c>
      <c r="E140" s="3">
        <v>69779</v>
      </c>
      <c r="F140" s="3">
        <v>6544</v>
      </c>
      <c r="G140" s="3">
        <v>0.152</v>
      </c>
      <c r="H140" s="3">
        <v>18</v>
      </c>
      <c r="I140" s="3">
        <v>90.2</v>
      </c>
      <c r="J140" s="3">
        <v>0.85</v>
      </c>
      <c r="K140" s="3">
        <v>1</v>
      </c>
      <c r="L140" s="3">
        <v>3.3</v>
      </c>
      <c r="M140" s="3">
        <v>758827.64</v>
      </c>
      <c r="N140" s="3">
        <v>161439.48000000001</v>
      </c>
    </row>
    <row r="141" spans="1:14">
      <c r="A141" s="3" t="s">
        <v>56</v>
      </c>
      <c r="B141" s="5">
        <v>45748</v>
      </c>
      <c r="C141" s="3" t="s">
        <v>24</v>
      </c>
      <c r="D141" s="3" t="s">
        <v>16</v>
      </c>
      <c r="E141" s="3">
        <v>44211.95</v>
      </c>
      <c r="F141" s="3">
        <v>5465</v>
      </c>
      <c r="G141" s="3">
        <v>0.187</v>
      </c>
      <c r="H141" s="3">
        <v>12</v>
      </c>
      <c r="I141" s="3">
        <v>90</v>
      </c>
      <c r="J141" s="3">
        <v>2.89</v>
      </c>
      <c r="K141" s="3">
        <v>0</v>
      </c>
      <c r="L141" s="3">
        <v>3.6</v>
      </c>
      <c r="M141" s="3">
        <v>646559.71</v>
      </c>
      <c r="N141" s="3">
        <v>97981.75</v>
      </c>
    </row>
    <row r="142" spans="1:14">
      <c r="A142" s="3" t="s">
        <v>57</v>
      </c>
      <c r="B142" s="5">
        <v>45658</v>
      </c>
      <c r="C142" s="3" t="s">
        <v>27</v>
      </c>
      <c r="D142" s="3" t="s">
        <v>18</v>
      </c>
      <c r="E142" s="3">
        <v>51430.31</v>
      </c>
      <c r="F142" s="3">
        <v>6427</v>
      </c>
      <c r="G142" s="3">
        <v>0.23400000000000001</v>
      </c>
      <c r="H142" s="3">
        <v>14</v>
      </c>
      <c r="I142" s="3">
        <v>88.8</v>
      </c>
      <c r="J142" s="3">
        <v>0.77</v>
      </c>
      <c r="K142" s="3">
        <v>0</v>
      </c>
      <c r="L142" s="3">
        <v>4.0999999999999996</v>
      </c>
      <c r="M142" s="3">
        <v>715890.53</v>
      </c>
      <c r="N142" s="3">
        <v>109032.15</v>
      </c>
    </row>
    <row r="143" spans="1:14">
      <c r="A143" s="3" t="s">
        <v>57</v>
      </c>
      <c r="B143" s="5">
        <v>45689</v>
      </c>
      <c r="C143" s="3" t="s">
        <v>27</v>
      </c>
      <c r="D143" s="3" t="s">
        <v>18</v>
      </c>
      <c r="E143" s="3">
        <v>45706.49</v>
      </c>
      <c r="F143" s="3">
        <v>6704</v>
      </c>
      <c r="G143" s="3">
        <v>3.7999999999999999E-2</v>
      </c>
      <c r="H143" s="3">
        <v>15</v>
      </c>
      <c r="I143" s="3">
        <v>94.2</v>
      </c>
      <c r="J143" s="3">
        <v>2.92</v>
      </c>
      <c r="K143" s="3">
        <v>0</v>
      </c>
      <c r="L143" s="3">
        <v>4.2</v>
      </c>
      <c r="M143" s="3">
        <v>715097.57</v>
      </c>
      <c r="N143" s="3">
        <v>151875.85999999999</v>
      </c>
    </row>
    <row r="144" spans="1:14">
      <c r="A144" s="3" t="s">
        <v>57</v>
      </c>
      <c r="B144" s="5">
        <v>45717</v>
      </c>
      <c r="C144" s="3" t="s">
        <v>27</v>
      </c>
      <c r="D144" s="3" t="s">
        <v>18</v>
      </c>
      <c r="E144" s="3">
        <v>44034.6</v>
      </c>
      <c r="F144" s="3">
        <v>5645</v>
      </c>
      <c r="G144" s="3">
        <v>6.9000000000000006E-2</v>
      </c>
      <c r="H144" s="3">
        <v>18</v>
      </c>
      <c r="I144" s="3">
        <v>88.5</v>
      </c>
      <c r="J144" s="3">
        <v>3.07</v>
      </c>
      <c r="K144" s="3">
        <v>0</v>
      </c>
      <c r="L144" s="3">
        <v>3.8</v>
      </c>
      <c r="M144" s="3">
        <v>682639.28</v>
      </c>
      <c r="N144" s="3">
        <v>77557.53</v>
      </c>
    </row>
    <row r="145" spans="1:14">
      <c r="A145" s="3" t="s">
        <v>57</v>
      </c>
      <c r="B145" s="5">
        <v>45748</v>
      </c>
      <c r="C145" s="3" t="s">
        <v>27</v>
      </c>
      <c r="D145" s="3" t="s">
        <v>18</v>
      </c>
      <c r="E145" s="3">
        <v>50198.12</v>
      </c>
      <c r="F145" s="3">
        <v>6089</v>
      </c>
      <c r="G145" s="3">
        <v>0.182</v>
      </c>
      <c r="H145" s="3">
        <v>19</v>
      </c>
      <c r="I145" s="3">
        <v>94</v>
      </c>
      <c r="J145" s="3">
        <v>9.6999999999999993</v>
      </c>
      <c r="K145" s="3">
        <v>0</v>
      </c>
      <c r="L145" s="3">
        <v>3.9</v>
      </c>
      <c r="M145" s="3">
        <v>695098.51</v>
      </c>
      <c r="N145" s="3">
        <v>108192.75</v>
      </c>
    </row>
    <row r="146" spans="1:14">
      <c r="A146" s="3" t="s">
        <v>58</v>
      </c>
      <c r="B146" s="5">
        <v>45658</v>
      </c>
      <c r="C146" s="3" t="s">
        <v>20</v>
      </c>
      <c r="D146" s="3" t="s">
        <v>16</v>
      </c>
      <c r="E146" s="3">
        <v>70488.2</v>
      </c>
      <c r="F146" s="3">
        <v>4312</v>
      </c>
      <c r="G146" s="3">
        <v>0.16900000000000001</v>
      </c>
      <c r="H146" s="3">
        <v>12</v>
      </c>
      <c r="I146" s="3">
        <v>90.2</v>
      </c>
      <c r="J146" s="3">
        <v>3.71</v>
      </c>
      <c r="K146" s="3">
        <v>0</v>
      </c>
      <c r="L146" s="3">
        <v>3.2</v>
      </c>
      <c r="M146" s="3">
        <v>577732.56999999995</v>
      </c>
      <c r="N146" s="3">
        <v>93804.27</v>
      </c>
    </row>
    <row r="147" spans="1:14">
      <c r="A147" s="3" t="s">
        <v>58</v>
      </c>
      <c r="B147" s="5">
        <v>45689</v>
      </c>
      <c r="C147" s="3" t="s">
        <v>20</v>
      </c>
      <c r="D147" s="3" t="s">
        <v>16</v>
      </c>
      <c r="E147" s="3">
        <v>50909.27</v>
      </c>
      <c r="F147" s="3">
        <v>3152</v>
      </c>
      <c r="G147" s="3">
        <v>0.06</v>
      </c>
      <c r="H147" s="3">
        <v>13</v>
      </c>
      <c r="I147" s="3">
        <v>93.7</v>
      </c>
      <c r="J147" s="3">
        <v>10.79</v>
      </c>
      <c r="K147" s="3">
        <v>0</v>
      </c>
      <c r="L147" s="3">
        <v>3.5</v>
      </c>
      <c r="M147" s="3">
        <v>537058.32999999996</v>
      </c>
      <c r="N147" s="3">
        <v>93555.71</v>
      </c>
    </row>
    <row r="148" spans="1:14">
      <c r="A148" s="3" t="s">
        <v>58</v>
      </c>
      <c r="B148" s="5">
        <v>45717</v>
      </c>
      <c r="C148" s="3" t="s">
        <v>20</v>
      </c>
      <c r="D148" s="3" t="s">
        <v>16</v>
      </c>
      <c r="E148" s="3">
        <v>53351.7</v>
      </c>
      <c r="F148" s="3">
        <v>4259</v>
      </c>
      <c r="G148" s="3">
        <v>0.156</v>
      </c>
      <c r="H148" s="3">
        <v>15</v>
      </c>
      <c r="I148" s="3">
        <v>93.7</v>
      </c>
      <c r="J148" s="3">
        <v>6.03</v>
      </c>
      <c r="K148" s="3">
        <v>0</v>
      </c>
      <c r="L148" s="3">
        <v>3.4</v>
      </c>
      <c r="M148" s="3">
        <v>601568.87</v>
      </c>
      <c r="N148" s="3">
        <v>91634.82</v>
      </c>
    </row>
    <row r="149" spans="1:14">
      <c r="A149" s="3" t="s">
        <v>58</v>
      </c>
      <c r="B149" s="5">
        <v>45748</v>
      </c>
      <c r="C149" s="3" t="s">
        <v>20</v>
      </c>
      <c r="D149" s="3" t="s">
        <v>16</v>
      </c>
      <c r="E149" s="3">
        <v>60322.400000000001</v>
      </c>
      <c r="F149" s="3">
        <v>3350</v>
      </c>
      <c r="G149" s="3">
        <v>0.108</v>
      </c>
      <c r="H149" s="3">
        <v>12</v>
      </c>
      <c r="I149" s="3">
        <v>89.4</v>
      </c>
      <c r="J149" s="3">
        <v>4.92</v>
      </c>
      <c r="K149" s="3">
        <v>0</v>
      </c>
      <c r="L149" s="3">
        <v>3.4</v>
      </c>
      <c r="M149" s="3">
        <v>570964.84</v>
      </c>
      <c r="N149" s="3">
        <v>81331.070000000007</v>
      </c>
    </row>
    <row r="150" spans="1:14">
      <c r="A150" s="3" t="s">
        <v>59</v>
      </c>
      <c r="B150" s="5">
        <v>45658</v>
      </c>
      <c r="C150" s="3" t="s">
        <v>24</v>
      </c>
      <c r="D150" s="3" t="s">
        <v>28</v>
      </c>
      <c r="E150" s="3">
        <v>51575.68</v>
      </c>
      <c r="F150" s="3">
        <v>5329</v>
      </c>
      <c r="G150" s="3">
        <v>4.7E-2</v>
      </c>
      <c r="H150" s="3">
        <v>17</v>
      </c>
      <c r="I150" s="3">
        <v>88.1</v>
      </c>
      <c r="J150" s="3">
        <v>19.78</v>
      </c>
      <c r="K150" s="3">
        <v>0</v>
      </c>
      <c r="L150" s="3">
        <v>3.8</v>
      </c>
      <c r="M150" s="3">
        <v>614024.91</v>
      </c>
      <c r="N150" s="3">
        <v>84828.93</v>
      </c>
    </row>
    <row r="151" spans="1:14">
      <c r="A151" s="3" t="s">
        <v>59</v>
      </c>
      <c r="B151" s="5">
        <v>45689</v>
      </c>
      <c r="C151" s="3" t="s">
        <v>24</v>
      </c>
      <c r="D151" s="3" t="s">
        <v>28</v>
      </c>
      <c r="E151" s="3">
        <v>43319.94</v>
      </c>
      <c r="F151" s="3">
        <v>6551</v>
      </c>
      <c r="G151" s="3">
        <v>4.3999999999999997E-2</v>
      </c>
      <c r="H151" s="3">
        <v>13</v>
      </c>
      <c r="I151" s="3">
        <v>99</v>
      </c>
      <c r="J151" s="3">
        <v>5.45</v>
      </c>
      <c r="K151" s="3">
        <v>0</v>
      </c>
      <c r="L151" s="3">
        <v>4.0999999999999996</v>
      </c>
      <c r="M151" s="3">
        <v>712868.35</v>
      </c>
      <c r="N151" s="3">
        <v>133650.51</v>
      </c>
    </row>
    <row r="152" spans="1:14">
      <c r="A152" s="3" t="s">
        <v>59</v>
      </c>
      <c r="B152" s="5">
        <v>45717</v>
      </c>
      <c r="C152" s="3" t="s">
        <v>24</v>
      </c>
      <c r="D152" s="3" t="s">
        <v>28</v>
      </c>
      <c r="E152" s="3">
        <v>47093.55</v>
      </c>
      <c r="F152" s="3">
        <v>5550</v>
      </c>
      <c r="G152" s="3">
        <v>0.1</v>
      </c>
      <c r="H152" s="3">
        <v>12</v>
      </c>
      <c r="I152" s="3">
        <v>95</v>
      </c>
      <c r="J152" s="3">
        <v>2.33</v>
      </c>
      <c r="K152" s="3">
        <v>1</v>
      </c>
      <c r="L152" s="3">
        <v>3.7</v>
      </c>
      <c r="M152" s="3">
        <v>696744.15</v>
      </c>
      <c r="N152" s="3">
        <v>152230.09</v>
      </c>
    </row>
    <row r="153" spans="1:14">
      <c r="A153" s="3" t="s">
        <v>59</v>
      </c>
      <c r="B153" s="5">
        <v>45748</v>
      </c>
      <c r="C153" s="3" t="s">
        <v>24</v>
      </c>
      <c r="D153" s="3" t="s">
        <v>28</v>
      </c>
      <c r="E153" s="3">
        <v>71855.09</v>
      </c>
      <c r="F153" s="3">
        <v>5911</v>
      </c>
      <c r="G153" s="3">
        <v>0.19700000000000001</v>
      </c>
      <c r="H153" s="3">
        <v>15</v>
      </c>
      <c r="I153" s="3">
        <v>94.3</v>
      </c>
      <c r="J153" s="3">
        <v>3.55</v>
      </c>
      <c r="K153" s="3">
        <v>0</v>
      </c>
      <c r="L153" s="3">
        <v>4.0999999999999996</v>
      </c>
      <c r="M153" s="3">
        <v>725847.99</v>
      </c>
      <c r="N153" s="3">
        <v>122698.73</v>
      </c>
    </row>
    <row r="154" spans="1:14">
      <c r="A154" s="3" t="s">
        <v>60</v>
      </c>
      <c r="B154" s="5">
        <v>45658</v>
      </c>
      <c r="C154" s="3" t="s">
        <v>15</v>
      </c>
      <c r="D154" s="3" t="s">
        <v>18</v>
      </c>
      <c r="E154" s="3">
        <v>75645.23</v>
      </c>
      <c r="F154" s="3">
        <v>9674</v>
      </c>
      <c r="G154" s="3">
        <v>0.23400000000000001</v>
      </c>
      <c r="H154" s="3">
        <v>21</v>
      </c>
      <c r="I154" s="3">
        <v>87.4</v>
      </c>
      <c r="J154" s="3">
        <v>0.2</v>
      </c>
      <c r="K154" s="3">
        <v>0</v>
      </c>
      <c r="L154" s="3">
        <v>4.5</v>
      </c>
      <c r="M154" s="3">
        <v>785028.25</v>
      </c>
      <c r="N154" s="3">
        <v>110726.44</v>
      </c>
    </row>
    <row r="155" spans="1:14">
      <c r="A155" s="3" t="s">
        <v>60</v>
      </c>
      <c r="B155" s="5">
        <v>45689</v>
      </c>
      <c r="C155" s="3" t="s">
        <v>15</v>
      </c>
      <c r="D155" s="3" t="s">
        <v>18</v>
      </c>
      <c r="E155" s="3">
        <v>64374.75</v>
      </c>
      <c r="F155" s="3">
        <v>6740</v>
      </c>
      <c r="G155" s="3">
        <v>0.16900000000000001</v>
      </c>
      <c r="H155" s="3">
        <v>18</v>
      </c>
      <c r="I155" s="3">
        <v>87</v>
      </c>
      <c r="J155" s="3">
        <v>2.09</v>
      </c>
      <c r="K155" s="3">
        <v>0</v>
      </c>
      <c r="L155" s="3">
        <v>4.2</v>
      </c>
      <c r="M155" s="3">
        <v>698492.67</v>
      </c>
      <c r="N155" s="3">
        <v>117319.32</v>
      </c>
    </row>
    <row r="156" spans="1:14">
      <c r="A156" s="3" t="s">
        <v>60</v>
      </c>
      <c r="B156" s="5">
        <v>45717</v>
      </c>
      <c r="C156" s="3" t="s">
        <v>15</v>
      </c>
      <c r="D156" s="3" t="s">
        <v>18</v>
      </c>
      <c r="E156" s="3">
        <v>61433.84</v>
      </c>
      <c r="F156" s="3">
        <v>7745</v>
      </c>
      <c r="G156" s="3">
        <v>0.18</v>
      </c>
      <c r="H156" s="3">
        <v>16</v>
      </c>
      <c r="I156" s="3">
        <v>90.5</v>
      </c>
      <c r="J156" s="3">
        <v>2.2599999999999998</v>
      </c>
      <c r="K156" s="3">
        <v>0</v>
      </c>
      <c r="L156" s="3">
        <v>4.2</v>
      </c>
      <c r="M156" s="3">
        <v>685830.24</v>
      </c>
      <c r="N156" s="3">
        <v>128736.18</v>
      </c>
    </row>
    <row r="157" spans="1:14">
      <c r="A157" s="3" t="s">
        <v>60</v>
      </c>
      <c r="B157" s="5">
        <v>45748</v>
      </c>
      <c r="C157" s="3" t="s">
        <v>15</v>
      </c>
      <c r="D157" s="3" t="s">
        <v>18</v>
      </c>
      <c r="E157" s="3">
        <v>42698.14</v>
      </c>
      <c r="F157" s="3">
        <v>7693</v>
      </c>
      <c r="G157" s="3">
        <v>0.187</v>
      </c>
      <c r="H157" s="3">
        <v>19</v>
      </c>
      <c r="I157" s="3">
        <v>90.1</v>
      </c>
      <c r="J157" s="3">
        <v>0.44</v>
      </c>
      <c r="K157" s="3">
        <v>0</v>
      </c>
      <c r="L157" s="3">
        <v>4.4000000000000004</v>
      </c>
      <c r="M157" s="3">
        <v>702318.94</v>
      </c>
      <c r="N157" s="3">
        <v>112829.29</v>
      </c>
    </row>
    <row r="158" spans="1:14">
      <c r="A158" s="3" t="s">
        <v>61</v>
      </c>
      <c r="B158" s="5">
        <v>45658</v>
      </c>
      <c r="C158" s="3" t="s">
        <v>20</v>
      </c>
      <c r="D158" s="3" t="s">
        <v>28</v>
      </c>
      <c r="E158" s="3">
        <v>86883.31</v>
      </c>
      <c r="F158" s="3">
        <v>6424</v>
      </c>
      <c r="G158" s="3">
        <v>5.7000000000000002E-2</v>
      </c>
      <c r="H158" s="3">
        <v>19</v>
      </c>
      <c r="I158" s="3">
        <v>85.2</v>
      </c>
      <c r="J158" s="3">
        <v>3.08</v>
      </c>
      <c r="K158" s="3">
        <v>0</v>
      </c>
      <c r="L158" s="3">
        <v>3.9</v>
      </c>
      <c r="M158" s="3">
        <v>700078.32</v>
      </c>
      <c r="N158" s="3">
        <v>123707.58</v>
      </c>
    </row>
    <row r="159" spans="1:14">
      <c r="A159" s="3" t="s">
        <v>61</v>
      </c>
      <c r="B159" s="5">
        <v>45689</v>
      </c>
      <c r="C159" s="3" t="s">
        <v>20</v>
      </c>
      <c r="D159" s="3" t="s">
        <v>28</v>
      </c>
      <c r="E159" s="3">
        <v>41863.08</v>
      </c>
      <c r="F159" s="3">
        <v>5400</v>
      </c>
      <c r="G159" s="3">
        <v>0.114</v>
      </c>
      <c r="H159" s="3">
        <v>11</v>
      </c>
      <c r="I159" s="3">
        <v>91.6</v>
      </c>
      <c r="J159" s="3">
        <v>7.99</v>
      </c>
      <c r="K159" s="3">
        <v>0</v>
      </c>
      <c r="L159" s="3">
        <v>3</v>
      </c>
      <c r="M159" s="3">
        <v>602002.31999999995</v>
      </c>
      <c r="N159" s="3">
        <v>110453.28</v>
      </c>
    </row>
    <row r="160" spans="1:14">
      <c r="A160" s="3" t="s">
        <v>61</v>
      </c>
      <c r="B160" s="5">
        <v>45717</v>
      </c>
      <c r="C160" s="3" t="s">
        <v>20</v>
      </c>
      <c r="D160" s="3" t="s">
        <v>28</v>
      </c>
      <c r="E160" s="3">
        <v>56918.16</v>
      </c>
      <c r="F160" s="3">
        <v>7015</v>
      </c>
      <c r="G160" s="3">
        <v>0.158</v>
      </c>
      <c r="H160" s="3">
        <v>18</v>
      </c>
      <c r="I160" s="3">
        <v>74.2</v>
      </c>
      <c r="J160" s="3">
        <v>0.2</v>
      </c>
      <c r="K160" s="3">
        <v>0</v>
      </c>
      <c r="L160" s="3">
        <v>3.4</v>
      </c>
      <c r="M160" s="3">
        <v>724216.07</v>
      </c>
      <c r="N160" s="3">
        <v>100627.56</v>
      </c>
    </row>
    <row r="161" spans="1:14">
      <c r="A161" s="3" t="s">
        <v>61</v>
      </c>
      <c r="B161" s="5">
        <v>45748</v>
      </c>
      <c r="C161" s="3" t="s">
        <v>20</v>
      </c>
      <c r="D161" s="3" t="s">
        <v>28</v>
      </c>
      <c r="E161" s="3">
        <v>23254.57</v>
      </c>
      <c r="F161" s="3">
        <v>3847</v>
      </c>
      <c r="G161" s="3">
        <v>0.159</v>
      </c>
      <c r="H161" s="3">
        <v>12</v>
      </c>
      <c r="I161" s="3">
        <v>93</v>
      </c>
      <c r="J161" s="3">
        <v>5.46</v>
      </c>
      <c r="K161" s="3">
        <v>0</v>
      </c>
      <c r="L161" s="3">
        <v>3.3</v>
      </c>
      <c r="M161" s="3">
        <v>620973.03</v>
      </c>
      <c r="N161" s="3">
        <v>72303.850000000006</v>
      </c>
    </row>
    <row r="162" spans="1:14">
      <c r="A162" s="3" t="s">
        <v>62</v>
      </c>
      <c r="B162" s="5">
        <v>45658</v>
      </c>
      <c r="C162" s="3" t="s">
        <v>24</v>
      </c>
      <c r="D162" s="3" t="s">
        <v>18</v>
      </c>
      <c r="E162" s="3">
        <v>41443.410000000003</v>
      </c>
      <c r="F162" s="3">
        <v>7455</v>
      </c>
      <c r="G162" s="3">
        <v>0.17499999999999999</v>
      </c>
      <c r="H162" s="3">
        <v>16</v>
      </c>
      <c r="I162" s="3">
        <v>90.1</v>
      </c>
      <c r="J162" s="3">
        <v>4.05</v>
      </c>
      <c r="K162" s="3">
        <v>0</v>
      </c>
      <c r="L162" s="3">
        <v>4</v>
      </c>
      <c r="M162" s="3">
        <v>650480.06000000006</v>
      </c>
      <c r="N162" s="3">
        <v>109012.07</v>
      </c>
    </row>
    <row r="163" spans="1:14">
      <c r="A163" s="3" t="s">
        <v>62</v>
      </c>
      <c r="B163" s="5">
        <v>45689</v>
      </c>
      <c r="C163" s="3" t="s">
        <v>24</v>
      </c>
      <c r="D163" s="3" t="s">
        <v>18</v>
      </c>
      <c r="E163" s="3">
        <v>48438.85</v>
      </c>
      <c r="F163" s="3">
        <v>6992</v>
      </c>
      <c r="G163" s="3">
        <v>3.4000000000000002E-2</v>
      </c>
      <c r="H163" s="3">
        <v>20</v>
      </c>
      <c r="I163" s="3">
        <v>91</v>
      </c>
      <c r="J163" s="3">
        <v>4.3600000000000003</v>
      </c>
      <c r="K163" s="3">
        <v>0</v>
      </c>
      <c r="L163" s="3">
        <v>4.2</v>
      </c>
      <c r="M163" s="3">
        <v>778298.88</v>
      </c>
      <c r="N163" s="3">
        <v>130076.72</v>
      </c>
    </row>
    <row r="164" spans="1:14">
      <c r="A164" s="3" t="s">
        <v>62</v>
      </c>
      <c r="B164" s="5">
        <v>45717</v>
      </c>
      <c r="C164" s="3" t="s">
        <v>24</v>
      </c>
      <c r="D164" s="3" t="s">
        <v>18</v>
      </c>
      <c r="E164" s="3">
        <v>57143.3</v>
      </c>
      <c r="F164" s="3">
        <v>8038</v>
      </c>
      <c r="G164" s="3">
        <v>0.193</v>
      </c>
      <c r="H164" s="3">
        <v>17</v>
      </c>
      <c r="I164" s="3">
        <v>72.599999999999994</v>
      </c>
      <c r="J164" s="3"/>
      <c r="K164" s="3">
        <v>0</v>
      </c>
      <c r="L164" s="3">
        <v>4.2</v>
      </c>
      <c r="M164" s="3">
        <v>677096.71</v>
      </c>
      <c r="N164" s="3">
        <v>97174.11</v>
      </c>
    </row>
    <row r="165" spans="1:14">
      <c r="A165" s="3" t="s">
        <v>62</v>
      </c>
      <c r="B165" s="5">
        <v>45748</v>
      </c>
      <c r="C165" s="3" t="s">
        <v>24</v>
      </c>
      <c r="D165" s="3" t="s">
        <v>18</v>
      </c>
      <c r="E165" s="3">
        <v>66870.62</v>
      </c>
      <c r="F165" s="3">
        <v>6055</v>
      </c>
      <c r="G165" s="3">
        <v>7.4999999999999997E-2</v>
      </c>
      <c r="H165" s="3">
        <v>19</v>
      </c>
      <c r="I165" s="3">
        <v>93.8</v>
      </c>
      <c r="J165" s="3">
        <v>0.54</v>
      </c>
      <c r="K165" s="3">
        <v>0</v>
      </c>
      <c r="L165" s="3">
        <v>4.3</v>
      </c>
      <c r="M165" s="3">
        <v>692008.64</v>
      </c>
      <c r="N165" s="3">
        <v>116337.87</v>
      </c>
    </row>
    <row r="166" spans="1:14">
      <c r="A166" s="3" t="s">
        <v>63</v>
      </c>
      <c r="B166" s="5">
        <v>45658</v>
      </c>
      <c r="C166" s="3" t="s">
        <v>20</v>
      </c>
      <c r="D166" s="3" t="s">
        <v>28</v>
      </c>
      <c r="E166" s="3">
        <v>72150.53</v>
      </c>
      <c r="F166" s="3">
        <v>9323</v>
      </c>
      <c r="G166" s="3">
        <v>0.157</v>
      </c>
      <c r="H166" s="3">
        <v>22</v>
      </c>
      <c r="I166" s="3">
        <v>82.9</v>
      </c>
      <c r="J166" s="3">
        <v>11.37</v>
      </c>
      <c r="K166" s="3">
        <v>1</v>
      </c>
      <c r="L166" s="3">
        <v>4.3</v>
      </c>
      <c r="M166" s="3">
        <v>825797.91</v>
      </c>
      <c r="N166" s="3">
        <v>130945.24</v>
      </c>
    </row>
    <row r="167" spans="1:14">
      <c r="A167" s="3" t="s">
        <v>63</v>
      </c>
      <c r="B167" s="5">
        <v>45689</v>
      </c>
      <c r="C167" s="3" t="s">
        <v>20</v>
      </c>
      <c r="D167" s="3" t="s">
        <v>28</v>
      </c>
      <c r="E167" s="3">
        <v>35303.300000000003</v>
      </c>
      <c r="F167" s="3">
        <v>8789</v>
      </c>
      <c r="G167" s="3">
        <v>0.123</v>
      </c>
      <c r="H167" s="3">
        <v>22</v>
      </c>
      <c r="I167" s="3">
        <v>86.1</v>
      </c>
      <c r="J167" s="3">
        <v>9.43</v>
      </c>
      <c r="K167" s="3">
        <v>0</v>
      </c>
      <c r="L167" s="3">
        <v>4.2</v>
      </c>
      <c r="M167" s="3">
        <v>706285.52</v>
      </c>
      <c r="N167" s="3">
        <v>138014.72</v>
      </c>
    </row>
    <row r="168" spans="1:14">
      <c r="A168" s="3" t="s">
        <v>63</v>
      </c>
      <c r="B168" s="5">
        <v>45717</v>
      </c>
      <c r="C168" s="3" t="s">
        <v>20</v>
      </c>
      <c r="D168" s="3" t="s">
        <v>28</v>
      </c>
      <c r="E168" s="3">
        <v>30301.86</v>
      </c>
      <c r="F168" s="3">
        <v>6939</v>
      </c>
      <c r="G168" s="3">
        <v>0.09</v>
      </c>
      <c r="H168" s="3">
        <v>16</v>
      </c>
      <c r="I168" s="3">
        <v>90.3</v>
      </c>
      <c r="J168" s="3">
        <v>3.49</v>
      </c>
      <c r="K168" s="3">
        <v>0</v>
      </c>
      <c r="L168" s="3">
        <v>4</v>
      </c>
      <c r="M168" s="3">
        <v>665534.69999999995</v>
      </c>
      <c r="N168" s="3">
        <v>113167.73</v>
      </c>
    </row>
    <row r="169" spans="1:14">
      <c r="A169" s="3" t="s">
        <v>63</v>
      </c>
      <c r="B169" s="5">
        <v>45748</v>
      </c>
      <c r="C169" s="3" t="s">
        <v>20</v>
      </c>
      <c r="D169" s="3" t="s">
        <v>28</v>
      </c>
      <c r="E169" s="3">
        <v>78432.14</v>
      </c>
      <c r="F169" s="3">
        <v>9440</v>
      </c>
      <c r="G169" s="3">
        <v>0.126</v>
      </c>
      <c r="H169" s="3">
        <v>23</v>
      </c>
      <c r="I169" s="3">
        <v>89.2</v>
      </c>
      <c r="J169" s="3">
        <v>7.86</v>
      </c>
      <c r="K169" s="3">
        <v>0</v>
      </c>
      <c r="L169" s="3">
        <v>4.0999999999999996</v>
      </c>
      <c r="M169" s="3">
        <v>820729.29</v>
      </c>
      <c r="N169" s="3">
        <v>159325.47</v>
      </c>
    </row>
    <row r="170" spans="1:14">
      <c r="A170" s="3" t="s">
        <v>64</v>
      </c>
      <c r="B170" s="5">
        <v>45658</v>
      </c>
      <c r="C170" s="3" t="s">
        <v>15</v>
      </c>
      <c r="D170" s="3" t="s">
        <v>16</v>
      </c>
      <c r="E170" s="3">
        <v>62059.18</v>
      </c>
      <c r="F170" s="3">
        <v>9374</v>
      </c>
      <c r="G170" s="3">
        <v>0.13600000000000001</v>
      </c>
      <c r="H170" s="3">
        <v>25</v>
      </c>
      <c r="I170" s="3">
        <v>87.1</v>
      </c>
      <c r="J170" s="3">
        <v>12.55</v>
      </c>
      <c r="K170" s="3">
        <v>0</v>
      </c>
      <c r="L170" s="3">
        <v>4.9000000000000004</v>
      </c>
      <c r="M170" s="3">
        <v>739831.73</v>
      </c>
      <c r="N170" s="3">
        <v>119490.21</v>
      </c>
    </row>
    <row r="171" spans="1:14">
      <c r="A171" s="3" t="s">
        <v>64</v>
      </c>
      <c r="B171" s="5">
        <v>45689</v>
      </c>
      <c r="C171" s="3" t="s">
        <v>15</v>
      </c>
      <c r="D171" s="3" t="s">
        <v>16</v>
      </c>
      <c r="E171" s="3">
        <v>32834.480000000003</v>
      </c>
      <c r="F171" s="3">
        <v>7576</v>
      </c>
      <c r="G171" s="3">
        <v>9.9000000000000005E-2</v>
      </c>
      <c r="H171" s="3">
        <v>15</v>
      </c>
      <c r="I171" s="3">
        <v>84.1</v>
      </c>
      <c r="J171" s="3">
        <v>3.48</v>
      </c>
      <c r="K171" s="3">
        <v>0</v>
      </c>
      <c r="L171" s="3">
        <v>5</v>
      </c>
      <c r="M171" s="3">
        <v>593637.14</v>
      </c>
      <c r="N171" s="3">
        <v>106648.14</v>
      </c>
    </row>
    <row r="172" spans="1:14">
      <c r="A172" s="3" t="s">
        <v>64</v>
      </c>
      <c r="B172" s="5">
        <v>45717</v>
      </c>
      <c r="C172" s="3" t="s">
        <v>15</v>
      </c>
      <c r="D172" s="3" t="s">
        <v>16</v>
      </c>
      <c r="E172" s="3">
        <v>50825.08</v>
      </c>
      <c r="F172" s="3">
        <v>8949</v>
      </c>
      <c r="G172" s="3">
        <v>0.157</v>
      </c>
      <c r="H172" s="3">
        <v>21</v>
      </c>
      <c r="I172" s="3">
        <v>84.7</v>
      </c>
      <c r="J172" s="3">
        <v>7.73</v>
      </c>
      <c r="K172" s="3">
        <v>0</v>
      </c>
      <c r="L172" s="3">
        <v>4.9000000000000004</v>
      </c>
      <c r="M172" s="3">
        <v>769702.76</v>
      </c>
      <c r="N172" s="3">
        <v>158697</v>
      </c>
    </row>
    <row r="173" spans="1:14">
      <c r="A173" s="3" t="s">
        <v>64</v>
      </c>
      <c r="B173" s="5">
        <v>45748</v>
      </c>
      <c r="C173" s="3" t="s">
        <v>15</v>
      </c>
      <c r="D173" s="3" t="s">
        <v>16</v>
      </c>
      <c r="E173" s="3">
        <v>36606.51</v>
      </c>
      <c r="F173" s="3">
        <v>7671</v>
      </c>
      <c r="G173" s="3">
        <v>0.11799999999999999</v>
      </c>
      <c r="H173" s="3">
        <v>18</v>
      </c>
      <c r="I173" s="3">
        <v>89.8</v>
      </c>
      <c r="J173" s="3">
        <v>0.25</v>
      </c>
      <c r="K173" s="3">
        <v>0</v>
      </c>
      <c r="L173" s="3">
        <v>4.4000000000000004</v>
      </c>
      <c r="M173" s="3">
        <v>679731.57</v>
      </c>
      <c r="N173" s="3">
        <v>121546.42</v>
      </c>
    </row>
    <row r="174" spans="1:14">
      <c r="A174" s="3" t="s">
        <v>65</v>
      </c>
      <c r="B174" s="5">
        <v>45658</v>
      </c>
      <c r="C174" s="3" t="s">
        <v>15</v>
      </c>
      <c r="D174" s="3" t="s">
        <v>16</v>
      </c>
      <c r="E174" s="3">
        <v>65237.79</v>
      </c>
      <c r="F174" s="3">
        <v>8741</v>
      </c>
      <c r="G174" s="3">
        <v>0.157</v>
      </c>
      <c r="H174" s="3">
        <v>20</v>
      </c>
      <c r="I174" s="3">
        <v>94.4</v>
      </c>
      <c r="J174" s="3">
        <v>6.43</v>
      </c>
      <c r="K174" s="3">
        <v>0</v>
      </c>
      <c r="L174" s="3">
        <v>3.3</v>
      </c>
      <c r="M174" s="3">
        <v>780344.18</v>
      </c>
      <c r="N174" s="3">
        <v>118239.09</v>
      </c>
    </row>
    <row r="175" spans="1:14">
      <c r="A175" s="3" t="s">
        <v>65</v>
      </c>
      <c r="B175" s="5">
        <v>45689</v>
      </c>
      <c r="C175" s="3" t="s">
        <v>15</v>
      </c>
      <c r="D175" s="3" t="s">
        <v>16</v>
      </c>
      <c r="E175" s="3">
        <v>43645.98</v>
      </c>
      <c r="F175" s="3">
        <v>9480</v>
      </c>
      <c r="G175" s="3">
        <v>0.109</v>
      </c>
      <c r="H175" s="3">
        <v>22</v>
      </c>
      <c r="I175" s="3">
        <v>89</v>
      </c>
      <c r="J175" s="3">
        <v>2.11</v>
      </c>
      <c r="K175" s="3">
        <v>0</v>
      </c>
      <c r="L175" s="3">
        <v>3.1</v>
      </c>
      <c r="M175" s="3">
        <v>721364.11</v>
      </c>
      <c r="N175" s="3">
        <v>147272.81</v>
      </c>
    </row>
    <row r="176" spans="1:14">
      <c r="A176" s="3" t="s">
        <v>65</v>
      </c>
      <c r="B176" s="5">
        <v>45717</v>
      </c>
      <c r="C176" s="3" t="s">
        <v>15</v>
      </c>
      <c r="D176" s="3" t="s">
        <v>16</v>
      </c>
      <c r="E176" s="3">
        <v>68040.149999999994</v>
      </c>
      <c r="F176" s="3">
        <v>9826</v>
      </c>
      <c r="G176" s="3">
        <v>0.125</v>
      </c>
      <c r="H176" s="3">
        <v>20</v>
      </c>
      <c r="I176" s="3">
        <v>83.9</v>
      </c>
      <c r="J176" s="3">
        <v>9.1199999999999992</v>
      </c>
      <c r="K176" s="3">
        <v>0</v>
      </c>
      <c r="L176" s="3">
        <v>3.6</v>
      </c>
      <c r="M176" s="3">
        <v>758138.29</v>
      </c>
      <c r="N176" s="3">
        <v>132975.26</v>
      </c>
    </row>
    <row r="177" spans="1:14">
      <c r="A177" s="3" t="s">
        <v>65</v>
      </c>
      <c r="B177" s="5">
        <v>45748</v>
      </c>
      <c r="C177" s="3" t="s">
        <v>15</v>
      </c>
      <c r="D177" s="3" t="s">
        <v>16</v>
      </c>
      <c r="E177" s="3">
        <v>63043.94</v>
      </c>
      <c r="F177" s="3">
        <v>10402</v>
      </c>
      <c r="G177" s="3">
        <v>0.159</v>
      </c>
      <c r="H177" s="3">
        <v>23</v>
      </c>
      <c r="I177" s="3">
        <v>93.9</v>
      </c>
      <c r="J177" s="3">
        <v>2.71</v>
      </c>
      <c r="K177" s="3">
        <v>0</v>
      </c>
      <c r="L177" s="3">
        <v>3.1</v>
      </c>
      <c r="M177" s="3">
        <v>804264</v>
      </c>
      <c r="N177" s="3">
        <v>167117.91</v>
      </c>
    </row>
    <row r="178" spans="1:14">
      <c r="A178" s="3" t="s">
        <v>66</v>
      </c>
      <c r="B178" s="5">
        <v>45658</v>
      </c>
      <c r="C178" s="3" t="s">
        <v>27</v>
      </c>
      <c r="D178" s="3" t="s">
        <v>21</v>
      </c>
      <c r="E178" s="3">
        <v>67494.09</v>
      </c>
      <c r="F178" s="3">
        <v>12361</v>
      </c>
      <c r="G178" s="3">
        <v>4.5999999999999999E-2</v>
      </c>
      <c r="H178" s="3">
        <v>24</v>
      </c>
      <c r="I178" s="3">
        <v>76.599999999999994</v>
      </c>
      <c r="J178" s="3">
        <v>3.65</v>
      </c>
      <c r="K178" s="3">
        <v>1</v>
      </c>
      <c r="L178" s="3">
        <v>3.7</v>
      </c>
      <c r="M178" s="3">
        <v>887537.75</v>
      </c>
      <c r="N178" s="3">
        <v>160362.92000000001</v>
      </c>
    </row>
    <row r="179" spans="1:14">
      <c r="A179" s="3" t="s">
        <v>66</v>
      </c>
      <c r="B179" s="5">
        <v>45689</v>
      </c>
      <c r="C179" s="3" t="s">
        <v>27</v>
      </c>
      <c r="D179" s="3" t="s">
        <v>21</v>
      </c>
      <c r="E179" s="3">
        <v>29389.32</v>
      </c>
      <c r="F179" s="3">
        <v>7925</v>
      </c>
      <c r="G179" s="3">
        <v>0.17699999999999999</v>
      </c>
      <c r="H179" s="3">
        <v>21</v>
      </c>
      <c r="I179" s="3">
        <v>90.9</v>
      </c>
      <c r="J179" s="3">
        <v>7.86</v>
      </c>
      <c r="K179" s="3">
        <v>0</v>
      </c>
      <c r="L179" s="3">
        <v>4</v>
      </c>
      <c r="M179" s="3">
        <v>783582</v>
      </c>
      <c r="N179" s="3">
        <v>130670.93</v>
      </c>
    </row>
    <row r="180" spans="1:14">
      <c r="A180" s="3" t="s">
        <v>66</v>
      </c>
      <c r="B180" s="5">
        <v>45717</v>
      </c>
      <c r="C180" s="3" t="s">
        <v>27</v>
      </c>
      <c r="D180" s="3" t="s">
        <v>21</v>
      </c>
      <c r="E180" s="3">
        <v>40535.089999999997</v>
      </c>
      <c r="F180" s="3">
        <v>8870</v>
      </c>
      <c r="G180" s="3">
        <v>4.1000000000000002E-2</v>
      </c>
      <c r="H180" s="3">
        <v>21</v>
      </c>
      <c r="I180" s="3">
        <v>86.6</v>
      </c>
      <c r="J180" s="3">
        <v>0.3</v>
      </c>
      <c r="K180" s="3">
        <v>0</v>
      </c>
      <c r="L180" s="3">
        <v>4.0999999999999996</v>
      </c>
      <c r="M180" s="3">
        <v>781955.52</v>
      </c>
      <c r="N180" s="3">
        <v>152578.71</v>
      </c>
    </row>
    <row r="181" spans="1:14">
      <c r="A181" s="3" t="s">
        <v>66</v>
      </c>
      <c r="B181" s="5">
        <v>45748</v>
      </c>
      <c r="C181" s="3" t="s">
        <v>27</v>
      </c>
      <c r="D181" s="3" t="s">
        <v>21</v>
      </c>
      <c r="E181" s="3">
        <v>74881.56</v>
      </c>
      <c r="F181" s="3">
        <v>9999</v>
      </c>
      <c r="G181" s="3">
        <v>1.2999999999999999E-2</v>
      </c>
      <c r="H181" s="3">
        <v>20</v>
      </c>
      <c r="I181" s="3">
        <v>89.6</v>
      </c>
      <c r="J181" s="3">
        <v>8.44</v>
      </c>
      <c r="K181" s="3">
        <v>0</v>
      </c>
      <c r="L181" s="3">
        <v>4.0999999999999996</v>
      </c>
      <c r="M181" s="3">
        <v>898031.04</v>
      </c>
      <c r="N181" s="3">
        <v>138666.5</v>
      </c>
    </row>
    <row r="182" spans="1:14">
      <c r="A182" s="3" t="s">
        <v>67</v>
      </c>
      <c r="B182" s="5">
        <v>45658</v>
      </c>
      <c r="C182" s="3" t="s">
        <v>27</v>
      </c>
      <c r="D182" s="3" t="s">
        <v>16</v>
      </c>
      <c r="E182" s="3">
        <v>68491.11</v>
      </c>
      <c r="F182" s="3">
        <v>11154</v>
      </c>
      <c r="G182" s="3">
        <v>1E-3</v>
      </c>
      <c r="H182" s="3">
        <v>24</v>
      </c>
      <c r="I182" s="3">
        <v>89.4</v>
      </c>
      <c r="J182" s="3">
        <v>5.27</v>
      </c>
      <c r="K182" s="3">
        <v>1</v>
      </c>
      <c r="L182" s="3">
        <v>3.9</v>
      </c>
      <c r="M182" s="3">
        <v>855341.28</v>
      </c>
      <c r="N182" s="3">
        <v>175823.8</v>
      </c>
    </row>
    <row r="183" spans="1:14">
      <c r="A183" s="3" t="s">
        <v>67</v>
      </c>
      <c r="B183" s="5">
        <v>45689</v>
      </c>
      <c r="C183" s="3" t="s">
        <v>27</v>
      </c>
      <c r="D183" s="3" t="s">
        <v>16</v>
      </c>
      <c r="E183" s="3">
        <v>45209.25</v>
      </c>
      <c r="F183" s="3">
        <v>9287</v>
      </c>
      <c r="G183" s="3">
        <v>0.14099999999999999</v>
      </c>
      <c r="H183" s="3">
        <v>22</v>
      </c>
      <c r="I183" s="3">
        <v>86.4</v>
      </c>
      <c r="J183" s="3">
        <v>13.22</v>
      </c>
      <c r="K183" s="3">
        <v>0</v>
      </c>
      <c r="L183" s="3">
        <v>3.6</v>
      </c>
      <c r="M183" s="3">
        <v>751393.88</v>
      </c>
      <c r="N183" s="3">
        <v>91480.320000000007</v>
      </c>
    </row>
    <row r="184" spans="1:14">
      <c r="A184" s="3" t="s">
        <v>67</v>
      </c>
      <c r="B184" s="5">
        <v>45717</v>
      </c>
      <c r="C184" s="3" t="s">
        <v>27</v>
      </c>
      <c r="D184" s="3" t="s">
        <v>16</v>
      </c>
      <c r="E184" s="3">
        <v>63010.23</v>
      </c>
      <c r="F184" s="3">
        <v>9812</v>
      </c>
      <c r="G184" s="3">
        <v>0.113</v>
      </c>
      <c r="H184" s="3">
        <v>24</v>
      </c>
      <c r="I184" s="3">
        <v>76.8</v>
      </c>
      <c r="J184" s="3">
        <v>1.02</v>
      </c>
      <c r="K184" s="3">
        <v>1</v>
      </c>
      <c r="L184" s="3">
        <v>3.8</v>
      </c>
      <c r="M184" s="3">
        <v>761077.08</v>
      </c>
      <c r="N184" s="3">
        <v>113605.93</v>
      </c>
    </row>
    <row r="185" spans="1:14">
      <c r="A185" s="3" t="s">
        <v>67</v>
      </c>
      <c r="B185" s="5">
        <v>45748</v>
      </c>
      <c r="C185" s="3" t="s">
        <v>27</v>
      </c>
      <c r="D185" s="3" t="s">
        <v>16</v>
      </c>
      <c r="E185" s="3">
        <v>57948.88</v>
      </c>
      <c r="F185" s="3">
        <v>10741</v>
      </c>
      <c r="G185" s="3">
        <v>7.0000000000000007E-2</v>
      </c>
      <c r="H185" s="3">
        <v>25</v>
      </c>
      <c r="I185" s="3">
        <v>90.1</v>
      </c>
      <c r="J185" s="3">
        <v>4.03</v>
      </c>
      <c r="K185" s="3">
        <v>0</v>
      </c>
      <c r="L185" s="3">
        <v>3.1</v>
      </c>
      <c r="M185" s="3">
        <v>819660.59</v>
      </c>
      <c r="N185" s="3">
        <v>172699.95</v>
      </c>
    </row>
    <row r="186" spans="1:14">
      <c r="A186" s="3" t="s">
        <v>68</v>
      </c>
      <c r="B186" s="5">
        <v>45658</v>
      </c>
      <c r="C186" s="3" t="s">
        <v>20</v>
      </c>
      <c r="D186" s="3" t="s">
        <v>18</v>
      </c>
      <c r="E186" s="3">
        <v>71941.62</v>
      </c>
      <c r="F186" s="3">
        <v>6084</v>
      </c>
      <c r="G186" s="3">
        <v>7.1999999999999995E-2</v>
      </c>
      <c r="H186" s="3">
        <v>13</v>
      </c>
      <c r="I186" s="3">
        <v>93.7</v>
      </c>
      <c r="J186" s="3">
        <v>2.34</v>
      </c>
      <c r="K186" s="3">
        <v>0</v>
      </c>
      <c r="L186" s="3">
        <v>4.4000000000000004</v>
      </c>
      <c r="M186" s="3">
        <v>681855.56</v>
      </c>
      <c r="N186" s="3">
        <v>117645.61</v>
      </c>
    </row>
    <row r="187" spans="1:14">
      <c r="A187" s="3" t="s">
        <v>68</v>
      </c>
      <c r="B187" s="5">
        <v>45689</v>
      </c>
      <c r="C187" s="3" t="s">
        <v>20</v>
      </c>
      <c r="D187" s="3" t="s">
        <v>18</v>
      </c>
      <c r="E187" s="3">
        <v>57147.88</v>
      </c>
      <c r="F187" s="3">
        <v>5252</v>
      </c>
      <c r="G187" s="3">
        <v>0.161</v>
      </c>
      <c r="H187" s="3">
        <v>15</v>
      </c>
      <c r="I187" s="3">
        <v>95.5</v>
      </c>
      <c r="J187" s="3">
        <v>8.51</v>
      </c>
      <c r="K187" s="3">
        <v>0</v>
      </c>
      <c r="L187" s="3">
        <v>4.4000000000000004</v>
      </c>
      <c r="M187" s="3">
        <v>678311.17</v>
      </c>
      <c r="N187" s="3">
        <v>132029.76000000001</v>
      </c>
    </row>
    <row r="188" spans="1:14">
      <c r="A188" s="3" t="s">
        <v>68</v>
      </c>
      <c r="B188" s="5">
        <v>45717</v>
      </c>
      <c r="C188" s="3" t="s">
        <v>20</v>
      </c>
      <c r="D188" s="3" t="s">
        <v>18</v>
      </c>
      <c r="E188" s="3">
        <v>48031.74</v>
      </c>
      <c r="F188" s="3">
        <v>6516</v>
      </c>
      <c r="G188" s="3">
        <v>6.7000000000000004E-2</v>
      </c>
      <c r="H188" s="3">
        <v>14</v>
      </c>
      <c r="I188" s="3">
        <v>99</v>
      </c>
      <c r="J188" s="3">
        <v>0.48</v>
      </c>
      <c r="K188" s="3">
        <v>1</v>
      </c>
      <c r="L188" s="3">
        <v>4.3</v>
      </c>
      <c r="M188" s="3">
        <v>765906.95</v>
      </c>
      <c r="N188" s="3">
        <v>114005.9</v>
      </c>
    </row>
    <row r="189" spans="1:14">
      <c r="A189" s="3" t="s">
        <v>68</v>
      </c>
      <c r="B189" s="5">
        <v>45748</v>
      </c>
      <c r="C189" s="3" t="s">
        <v>20</v>
      </c>
      <c r="D189" s="3" t="s">
        <v>18</v>
      </c>
      <c r="E189" s="3">
        <v>72784.800000000003</v>
      </c>
      <c r="F189" s="3">
        <v>7932</v>
      </c>
      <c r="G189" s="3">
        <v>9.4E-2</v>
      </c>
      <c r="H189" s="3">
        <v>20</v>
      </c>
      <c r="I189" s="3">
        <v>74.900000000000006</v>
      </c>
      <c r="J189" s="3">
        <v>13.62</v>
      </c>
      <c r="K189" s="3">
        <v>0</v>
      </c>
      <c r="L189" s="3">
        <v>4.2</v>
      </c>
      <c r="M189" s="3">
        <v>712546.38</v>
      </c>
      <c r="N189" s="3">
        <v>101480.04</v>
      </c>
    </row>
    <row r="190" spans="1:14">
      <c r="A190" s="3" t="s">
        <v>69</v>
      </c>
      <c r="B190" s="5">
        <v>45658</v>
      </c>
      <c r="C190" s="3" t="s">
        <v>15</v>
      </c>
      <c r="D190" s="3" t="s">
        <v>18</v>
      </c>
      <c r="E190" s="3">
        <v>71641.899999999994</v>
      </c>
      <c r="F190" s="3">
        <v>3506</v>
      </c>
      <c r="G190" s="3">
        <v>0</v>
      </c>
      <c r="H190" s="3">
        <v>11</v>
      </c>
      <c r="I190" s="3">
        <v>86.4</v>
      </c>
      <c r="J190" s="3">
        <v>7.77</v>
      </c>
      <c r="K190" s="3">
        <v>0</v>
      </c>
      <c r="L190" s="3">
        <v>4.0999999999999996</v>
      </c>
      <c r="M190" s="3">
        <v>625993.82999999996</v>
      </c>
      <c r="N190" s="3">
        <v>98960.320000000007</v>
      </c>
    </row>
    <row r="191" spans="1:14">
      <c r="A191" s="3" t="s">
        <v>69</v>
      </c>
      <c r="B191" s="5">
        <v>45689</v>
      </c>
      <c r="C191" s="3" t="s">
        <v>15</v>
      </c>
      <c r="D191" s="3" t="s">
        <v>18</v>
      </c>
      <c r="E191" s="3">
        <v>55788.61</v>
      </c>
      <c r="F191" s="3">
        <v>2312</v>
      </c>
      <c r="G191" s="3">
        <v>5.8000000000000003E-2</v>
      </c>
      <c r="H191" s="3">
        <v>10</v>
      </c>
      <c r="I191" s="3">
        <v>91.3</v>
      </c>
      <c r="J191" s="3">
        <v>1.99</v>
      </c>
      <c r="K191" s="3">
        <v>0</v>
      </c>
      <c r="L191" s="3">
        <v>3.8</v>
      </c>
      <c r="M191" s="3">
        <v>550962.93000000005</v>
      </c>
      <c r="N191" s="3">
        <v>97144.58</v>
      </c>
    </row>
    <row r="192" spans="1:14">
      <c r="A192" s="3" t="s">
        <v>69</v>
      </c>
      <c r="B192" s="5">
        <v>45717</v>
      </c>
      <c r="C192" s="3" t="s">
        <v>15</v>
      </c>
      <c r="D192" s="3" t="s">
        <v>18</v>
      </c>
      <c r="E192" s="3">
        <v>37705.879999999997</v>
      </c>
      <c r="F192" s="3">
        <v>1268</v>
      </c>
      <c r="G192" s="3">
        <v>0.25900000000000001</v>
      </c>
      <c r="H192" s="3">
        <v>9</v>
      </c>
      <c r="I192" s="3">
        <v>84.1</v>
      </c>
      <c r="J192" s="3">
        <v>4.7699999999999996</v>
      </c>
      <c r="K192" s="3">
        <v>0</v>
      </c>
      <c r="L192" s="3">
        <v>3.8</v>
      </c>
      <c r="M192" s="3">
        <v>443275.59</v>
      </c>
      <c r="N192" s="3">
        <v>53544.36</v>
      </c>
    </row>
    <row r="193" spans="1:14">
      <c r="A193" s="3" t="s">
        <v>69</v>
      </c>
      <c r="B193" s="5">
        <v>45748</v>
      </c>
      <c r="C193" s="3" t="s">
        <v>15</v>
      </c>
      <c r="D193" s="3" t="s">
        <v>18</v>
      </c>
      <c r="E193" s="3">
        <v>54966.18</v>
      </c>
      <c r="F193" s="3">
        <v>4423</v>
      </c>
      <c r="G193" s="3">
        <v>0.186</v>
      </c>
      <c r="H193" s="3">
        <v>13</v>
      </c>
      <c r="I193" s="3">
        <v>88.7</v>
      </c>
      <c r="J193" s="3">
        <v>0.2</v>
      </c>
      <c r="K193" s="3">
        <v>0</v>
      </c>
      <c r="L193" s="3">
        <v>4.4000000000000004</v>
      </c>
      <c r="M193" s="3">
        <v>554012.06999999995</v>
      </c>
      <c r="N193" s="3">
        <v>81101.62</v>
      </c>
    </row>
    <row r="194" spans="1:14">
      <c r="A194" s="3" t="s">
        <v>70</v>
      </c>
      <c r="B194" s="5">
        <v>45658</v>
      </c>
      <c r="C194" s="3" t="s">
        <v>27</v>
      </c>
      <c r="D194" s="3" t="s">
        <v>16</v>
      </c>
      <c r="E194" s="3">
        <v>81796.740000000005</v>
      </c>
      <c r="F194" s="3">
        <v>6177</v>
      </c>
      <c r="G194" s="3">
        <v>0.16400000000000001</v>
      </c>
      <c r="H194" s="3">
        <v>14</v>
      </c>
      <c r="I194" s="3">
        <v>87.9</v>
      </c>
      <c r="J194" s="3">
        <v>0.53</v>
      </c>
      <c r="K194" s="3">
        <v>0</v>
      </c>
      <c r="L194" s="3">
        <v>3.2</v>
      </c>
      <c r="M194" s="3">
        <v>643428.85</v>
      </c>
      <c r="N194" s="3">
        <v>94477.63</v>
      </c>
    </row>
    <row r="195" spans="1:14">
      <c r="A195" s="3" t="s">
        <v>70</v>
      </c>
      <c r="B195" s="5">
        <v>45689</v>
      </c>
      <c r="C195" s="3" t="s">
        <v>27</v>
      </c>
      <c r="D195" s="3" t="s">
        <v>16</v>
      </c>
      <c r="E195" s="3">
        <v>51133.43</v>
      </c>
      <c r="F195" s="3">
        <v>5150</v>
      </c>
      <c r="G195" s="3">
        <v>0.15</v>
      </c>
      <c r="H195" s="3">
        <v>12</v>
      </c>
      <c r="I195" s="3">
        <v>88.5</v>
      </c>
      <c r="J195" s="3">
        <v>1.54</v>
      </c>
      <c r="K195" s="3">
        <v>0</v>
      </c>
      <c r="L195" s="3">
        <v>3.2</v>
      </c>
      <c r="M195" s="3">
        <v>611924.27</v>
      </c>
      <c r="N195" s="3">
        <v>115488.75</v>
      </c>
    </row>
    <row r="196" spans="1:14">
      <c r="A196" s="3" t="s">
        <v>70</v>
      </c>
      <c r="B196" s="5">
        <v>45717</v>
      </c>
      <c r="C196" s="3" t="s">
        <v>27</v>
      </c>
      <c r="D196" s="3" t="s">
        <v>16</v>
      </c>
      <c r="E196" s="3">
        <v>40220.18</v>
      </c>
      <c r="F196" s="3">
        <v>3783</v>
      </c>
      <c r="G196" s="3">
        <v>8.8999999999999996E-2</v>
      </c>
      <c r="H196" s="3">
        <v>14</v>
      </c>
      <c r="I196" s="3">
        <v>86.6</v>
      </c>
      <c r="J196" s="3">
        <v>3.63</v>
      </c>
      <c r="K196" s="3">
        <v>0</v>
      </c>
      <c r="L196" s="3">
        <v>3.7</v>
      </c>
      <c r="M196" s="3">
        <v>559422.02</v>
      </c>
      <c r="N196" s="3">
        <v>73528.740000000005</v>
      </c>
    </row>
    <row r="197" spans="1:14">
      <c r="A197" s="3" t="s">
        <v>70</v>
      </c>
      <c r="B197" s="5">
        <v>45748</v>
      </c>
      <c r="C197" s="3" t="s">
        <v>27</v>
      </c>
      <c r="D197" s="3" t="s">
        <v>16</v>
      </c>
      <c r="E197" s="3">
        <v>41657.64</v>
      </c>
      <c r="F197" s="3">
        <v>3135</v>
      </c>
      <c r="G197" s="3">
        <v>0.22900000000000001</v>
      </c>
      <c r="H197" s="3">
        <v>7</v>
      </c>
      <c r="I197" s="3">
        <v>85.4</v>
      </c>
      <c r="J197" s="3">
        <v>13.48</v>
      </c>
      <c r="K197" s="3">
        <v>0</v>
      </c>
      <c r="L197" s="3"/>
      <c r="M197" s="3">
        <v>449465.06</v>
      </c>
      <c r="N197" s="3">
        <v>65694.78</v>
      </c>
    </row>
    <row r="198" spans="1:14">
      <c r="A198" s="3" t="s">
        <v>71</v>
      </c>
      <c r="B198" s="5">
        <v>45658</v>
      </c>
      <c r="C198" s="3" t="s">
        <v>20</v>
      </c>
      <c r="D198" s="3" t="s">
        <v>16</v>
      </c>
      <c r="E198" s="3">
        <v>71851.45</v>
      </c>
      <c r="F198" s="3">
        <v>4970</v>
      </c>
      <c r="G198" s="3">
        <v>9.8000000000000004E-2</v>
      </c>
      <c r="H198" s="3">
        <v>11</v>
      </c>
      <c r="I198" s="3">
        <v>89.6</v>
      </c>
      <c r="J198" s="3">
        <v>0.2</v>
      </c>
      <c r="K198" s="3">
        <v>0</v>
      </c>
      <c r="L198" s="3">
        <v>4.2</v>
      </c>
      <c r="M198" s="3">
        <v>691447.43</v>
      </c>
      <c r="N198" s="3">
        <v>114077.69</v>
      </c>
    </row>
    <row r="199" spans="1:14">
      <c r="A199" s="3" t="s">
        <v>71</v>
      </c>
      <c r="B199" s="5">
        <v>45689</v>
      </c>
      <c r="C199" s="3" t="s">
        <v>20</v>
      </c>
      <c r="D199" s="3" t="s">
        <v>16</v>
      </c>
      <c r="E199" s="3">
        <v>54002.83</v>
      </c>
      <c r="F199" s="3">
        <v>4366</v>
      </c>
      <c r="G199" s="3">
        <v>2.7E-2</v>
      </c>
      <c r="H199" s="3">
        <v>15</v>
      </c>
      <c r="I199" s="3">
        <v>90.6</v>
      </c>
      <c r="J199" s="3">
        <v>12.82</v>
      </c>
      <c r="K199" s="3">
        <v>0</v>
      </c>
      <c r="L199" s="3">
        <v>4.5999999999999996</v>
      </c>
      <c r="M199" s="3">
        <v>574066.61</v>
      </c>
      <c r="N199" s="3">
        <v>124674.67</v>
      </c>
    </row>
    <row r="200" spans="1:14">
      <c r="A200" s="3" t="s">
        <v>71</v>
      </c>
      <c r="B200" s="5">
        <v>45717</v>
      </c>
      <c r="C200" s="3" t="s">
        <v>20</v>
      </c>
      <c r="D200" s="3" t="s">
        <v>16</v>
      </c>
      <c r="E200" s="3">
        <v>54479.33</v>
      </c>
      <c r="F200" s="3">
        <v>5012</v>
      </c>
      <c r="G200" s="3">
        <v>0.28399999999999997</v>
      </c>
      <c r="H200" s="3">
        <v>13</v>
      </c>
      <c r="I200" s="3">
        <v>86</v>
      </c>
      <c r="J200" s="3">
        <v>2.2400000000000002</v>
      </c>
      <c r="K200" s="3">
        <v>1</v>
      </c>
      <c r="L200" s="3">
        <v>4.3</v>
      </c>
      <c r="M200" s="3">
        <v>578949.84</v>
      </c>
      <c r="N200" s="3">
        <v>80253.649999999994</v>
      </c>
    </row>
    <row r="201" spans="1:14">
      <c r="A201" s="3" t="s">
        <v>71</v>
      </c>
      <c r="B201" s="5">
        <v>45748</v>
      </c>
      <c r="C201" s="3" t="s">
        <v>20</v>
      </c>
      <c r="D201" s="3" t="s">
        <v>16</v>
      </c>
      <c r="E201" s="3">
        <v>61391.8</v>
      </c>
      <c r="F201" s="3">
        <v>5575</v>
      </c>
      <c r="G201" s="3">
        <v>0.189</v>
      </c>
      <c r="H201" s="3">
        <v>18</v>
      </c>
      <c r="I201" s="3">
        <v>90</v>
      </c>
      <c r="J201" s="3">
        <v>1.8</v>
      </c>
      <c r="K201" s="3">
        <v>0</v>
      </c>
      <c r="L201" s="3">
        <v>4.8</v>
      </c>
      <c r="M201" s="3">
        <v>735786.64</v>
      </c>
      <c r="N201" s="3">
        <v>126540.66</v>
      </c>
    </row>
    <row r="202" spans="1:14">
      <c r="A202" s="3" t="s">
        <v>72</v>
      </c>
      <c r="B202" s="5">
        <v>45658</v>
      </c>
      <c r="C202" s="3" t="s">
        <v>15</v>
      </c>
      <c r="D202" s="3" t="s">
        <v>21</v>
      </c>
      <c r="E202" s="3">
        <v>22312.93</v>
      </c>
      <c r="F202" s="3">
        <v>5955</v>
      </c>
      <c r="G202" s="3">
        <v>0.123</v>
      </c>
      <c r="H202" s="3">
        <v>13</v>
      </c>
      <c r="I202" s="3">
        <v>84.2</v>
      </c>
      <c r="J202" s="3">
        <v>0.41</v>
      </c>
      <c r="K202" s="3">
        <v>1</v>
      </c>
      <c r="L202" s="3">
        <v>4.5999999999999996</v>
      </c>
      <c r="M202" s="3">
        <v>598904.9</v>
      </c>
      <c r="N202" s="3">
        <v>72861</v>
      </c>
    </row>
    <row r="203" spans="1:14">
      <c r="A203" s="3" t="s">
        <v>72</v>
      </c>
      <c r="B203" s="5">
        <v>45689</v>
      </c>
      <c r="C203" s="3" t="s">
        <v>15</v>
      </c>
      <c r="D203" s="3" t="s">
        <v>21</v>
      </c>
      <c r="E203" s="3">
        <v>78111.97</v>
      </c>
      <c r="F203" s="3">
        <v>6389</v>
      </c>
      <c r="G203" s="3">
        <v>0.15</v>
      </c>
      <c r="H203" s="3">
        <v>13</v>
      </c>
      <c r="I203" s="3">
        <v>83.9</v>
      </c>
      <c r="J203" s="3">
        <v>3.05</v>
      </c>
      <c r="K203" s="3">
        <v>0</v>
      </c>
      <c r="L203" s="3">
        <v>4.8</v>
      </c>
      <c r="M203" s="3">
        <v>787715.51</v>
      </c>
      <c r="N203" s="3">
        <v>128969.62</v>
      </c>
    </row>
    <row r="204" spans="1:14">
      <c r="A204" s="3" t="s">
        <v>72</v>
      </c>
      <c r="B204" s="5">
        <v>45717</v>
      </c>
      <c r="C204" s="3" t="s">
        <v>15</v>
      </c>
      <c r="D204" s="3" t="s">
        <v>21</v>
      </c>
      <c r="E204" s="3">
        <v>35203.230000000003</v>
      </c>
      <c r="F204" s="3">
        <v>6896</v>
      </c>
      <c r="G204" s="3">
        <v>3.2000000000000001E-2</v>
      </c>
      <c r="H204" s="3">
        <v>14</v>
      </c>
      <c r="I204" s="3">
        <v>80.8</v>
      </c>
      <c r="J204" s="3">
        <v>8.44</v>
      </c>
      <c r="K204" s="3">
        <v>1</v>
      </c>
      <c r="L204" s="3">
        <v>5</v>
      </c>
      <c r="M204" s="3">
        <v>607084.92000000004</v>
      </c>
      <c r="N204" s="3">
        <v>98558.49</v>
      </c>
    </row>
    <row r="205" spans="1:14">
      <c r="A205" s="3" t="s">
        <v>72</v>
      </c>
      <c r="B205" s="5">
        <v>45748</v>
      </c>
      <c r="C205" s="3" t="s">
        <v>15</v>
      </c>
      <c r="D205" s="3" t="s">
        <v>21</v>
      </c>
      <c r="E205" s="3">
        <v>64104.28</v>
      </c>
      <c r="F205" s="3">
        <v>6015</v>
      </c>
      <c r="G205" s="3">
        <v>0.127</v>
      </c>
      <c r="H205" s="3">
        <v>15</v>
      </c>
      <c r="I205" s="3">
        <v>88.7</v>
      </c>
      <c r="J205" s="3">
        <v>0.78</v>
      </c>
      <c r="K205" s="3">
        <v>0</v>
      </c>
      <c r="L205" s="3">
        <v>4</v>
      </c>
      <c r="M205" s="3">
        <v>650795.49</v>
      </c>
      <c r="N205" s="3">
        <v>103035.89</v>
      </c>
    </row>
    <row r="206" spans="1:14">
      <c r="A206" s="3" t="s">
        <v>73</v>
      </c>
      <c r="B206" s="5">
        <v>45658</v>
      </c>
      <c r="C206" s="3" t="s">
        <v>15</v>
      </c>
      <c r="D206" s="3" t="s">
        <v>28</v>
      </c>
      <c r="E206" s="3">
        <v>92090.14</v>
      </c>
      <c r="F206" s="3">
        <v>9476</v>
      </c>
      <c r="G206" s="3">
        <v>7.0000000000000007E-2</v>
      </c>
      <c r="H206" s="3">
        <v>24</v>
      </c>
      <c r="I206" s="3">
        <v>94.3</v>
      </c>
      <c r="J206" s="3">
        <v>0.87</v>
      </c>
      <c r="K206" s="3">
        <v>0</v>
      </c>
      <c r="L206" s="3">
        <v>3.7</v>
      </c>
      <c r="M206" s="3">
        <v>825060.52</v>
      </c>
      <c r="N206" s="3">
        <v>143613.15</v>
      </c>
    </row>
    <row r="207" spans="1:14">
      <c r="A207" s="3" t="s">
        <v>73</v>
      </c>
      <c r="B207" s="5">
        <v>45689</v>
      </c>
      <c r="C207" s="3" t="s">
        <v>15</v>
      </c>
      <c r="D207" s="3" t="s">
        <v>28</v>
      </c>
      <c r="E207" s="3">
        <v>54300.87</v>
      </c>
      <c r="F207" s="3">
        <v>7875</v>
      </c>
      <c r="G207" s="3">
        <v>0.107</v>
      </c>
      <c r="H207" s="3">
        <v>19</v>
      </c>
      <c r="I207" s="3">
        <v>94.1</v>
      </c>
      <c r="J207" s="3">
        <v>0.95</v>
      </c>
      <c r="K207" s="3">
        <v>0</v>
      </c>
      <c r="L207" s="3">
        <v>3.7</v>
      </c>
      <c r="M207" s="3">
        <v>795464.47</v>
      </c>
      <c r="N207" s="3">
        <v>161150.51999999999</v>
      </c>
    </row>
    <row r="208" spans="1:14">
      <c r="A208" s="3" t="s">
        <v>73</v>
      </c>
      <c r="B208" s="5">
        <v>45717</v>
      </c>
      <c r="C208" s="3" t="s">
        <v>15</v>
      </c>
      <c r="D208" s="3" t="s">
        <v>28</v>
      </c>
      <c r="E208" s="3">
        <v>37983.35</v>
      </c>
      <c r="F208" s="3">
        <v>9283</v>
      </c>
      <c r="G208" s="3">
        <v>0.14899999999999999</v>
      </c>
      <c r="H208" s="3">
        <v>19</v>
      </c>
      <c r="I208" s="3">
        <v>83.2</v>
      </c>
      <c r="J208" s="3">
        <v>3.82</v>
      </c>
      <c r="K208" s="3">
        <v>0</v>
      </c>
      <c r="L208" s="3">
        <v>3.7</v>
      </c>
      <c r="M208" s="3">
        <v>671868.59</v>
      </c>
      <c r="N208" s="3">
        <v>71003.28</v>
      </c>
    </row>
    <row r="209" spans="1:14">
      <c r="A209" s="3" t="s">
        <v>73</v>
      </c>
      <c r="B209" s="5">
        <v>45748</v>
      </c>
      <c r="C209" s="3" t="s">
        <v>15</v>
      </c>
      <c r="D209" s="3" t="s">
        <v>28</v>
      </c>
      <c r="E209" s="3">
        <v>56413.83</v>
      </c>
      <c r="F209" s="3">
        <v>8303</v>
      </c>
      <c r="G209" s="3">
        <v>0.11600000000000001</v>
      </c>
      <c r="H209" s="3">
        <v>18</v>
      </c>
      <c r="I209" s="3">
        <v>93.6</v>
      </c>
      <c r="J209" s="3">
        <v>2.7</v>
      </c>
      <c r="K209" s="3">
        <v>0</v>
      </c>
      <c r="L209" s="3">
        <v>3.7</v>
      </c>
      <c r="M209" s="3">
        <v>675917.63</v>
      </c>
      <c r="N209" s="3">
        <v>112564.75</v>
      </c>
    </row>
    <row r="210" spans="1:14">
      <c r="A210" s="3" t="s">
        <v>74</v>
      </c>
      <c r="B210" s="5">
        <v>45658</v>
      </c>
      <c r="C210" s="3" t="s">
        <v>15</v>
      </c>
      <c r="D210" s="3" t="s">
        <v>18</v>
      </c>
      <c r="E210" s="3">
        <v>63457.19</v>
      </c>
      <c r="F210" s="3">
        <v>10125</v>
      </c>
      <c r="G210" s="3">
        <v>9.7000000000000003E-2</v>
      </c>
      <c r="H210" s="3">
        <v>24</v>
      </c>
      <c r="I210" s="3">
        <v>87</v>
      </c>
      <c r="J210" s="3">
        <v>3.84</v>
      </c>
      <c r="K210" s="3">
        <v>1</v>
      </c>
      <c r="L210" s="3">
        <v>3.7</v>
      </c>
      <c r="M210" s="3">
        <v>810446.53</v>
      </c>
      <c r="N210" s="3">
        <v>200575.34</v>
      </c>
    </row>
    <row r="211" spans="1:14">
      <c r="A211" s="3" t="s">
        <v>74</v>
      </c>
      <c r="B211" s="5">
        <v>45689</v>
      </c>
      <c r="C211" s="3" t="s">
        <v>15</v>
      </c>
      <c r="D211" s="3" t="s">
        <v>18</v>
      </c>
      <c r="E211" s="3">
        <v>62949.7</v>
      </c>
      <c r="F211" s="3">
        <v>9458</v>
      </c>
      <c r="G211" s="3">
        <v>0.17100000000000001</v>
      </c>
      <c r="H211" s="3">
        <v>19</v>
      </c>
      <c r="I211" s="3">
        <v>84.9</v>
      </c>
      <c r="J211" s="3">
        <v>5.09</v>
      </c>
      <c r="K211" s="3">
        <v>0</v>
      </c>
      <c r="L211" s="3">
        <v>3.3</v>
      </c>
      <c r="M211" s="3">
        <v>691288.19</v>
      </c>
      <c r="N211" s="3">
        <v>159074.14000000001</v>
      </c>
    </row>
    <row r="212" spans="1:14">
      <c r="A212" s="3" t="s">
        <v>74</v>
      </c>
      <c r="B212" s="5">
        <v>45717</v>
      </c>
      <c r="C212" s="3" t="s">
        <v>15</v>
      </c>
      <c r="D212" s="3" t="s">
        <v>18</v>
      </c>
      <c r="E212" s="3">
        <v>107970.19</v>
      </c>
      <c r="F212" s="3">
        <v>12870</v>
      </c>
      <c r="G212" s="3">
        <v>2.9000000000000001E-2</v>
      </c>
      <c r="H212" s="3">
        <v>31</v>
      </c>
      <c r="I212" s="3">
        <v>91.7</v>
      </c>
      <c r="J212" s="3">
        <v>3.82</v>
      </c>
      <c r="K212" s="3">
        <v>1</v>
      </c>
      <c r="L212" s="3">
        <v>3.7</v>
      </c>
      <c r="M212" s="3">
        <v>946833.54</v>
      </c>
      <c r="N212" s="3">
        <v>184540.31</v>
      </c>
    </row>
    <row r="213" spans="1:14">
      <c r="A213" s="3" t="s">
        <v>74</v>
      </c>
      <c r="B213" s="5">
        <v>45748</v>
      </c>
      <c r="C213" s="3" t="s">
        <v>15</v>
      </c>
      <c r="D213" s="3" t="s">
        <v>18</v>
      </c>
      <c r="E213" s="3">
        <v>49405.75</v>
      </c>
      <c r="F213" s="3">
        <v>9752</v>
      </c>
      <c r="G213" s="3">
        <v>9.2999999999999999E-2</v>
      </c>
      <c r="H213" s="3">
        <v>21</v>
      </c>
      <c r="I213" s="3">
        <v>87</v>
      </c>
      <c r="J213" s="3">
        <v>12.28</v>
      </c>
      <c r="K213" s="3">
        <v>0</v>
      </c>
      <c r="L213" s="3">
        <v>4.0999999999999996</v>
      </c>
      <c r="M213" s="3">
        <v>761963.23</v>
      </c>
      <c r="N213" s="3">
        <v>150113.60999999999</v>
      </c>
    </row>
    <row r="214" spans="1:14">
      <c r="A214" s="3" t="s">
        <v>75</v>
      </c>
      <c r="B214" s="5">
        <v>45658</v>
      </c>
      <c r="C214" s="3" t="s">
        <v>27</v>
      </c>
      <c r="D214" s="3" t="s">
        <v>16</v>
      </c>
      <c r="E214" s="3">
        <v>50887.46</v>
      </c>
      <c r="F214" s="3">
        <v>9505</v>
      </c>
      <c r="G214" s="3">
        <v>9.0999999999999998E-2</v>
      </c>
      <c r="H214" s="3">
        <v>25</v>
      </c>
      <c r="I214" s="3">
        <v>89.7</v>
      </c>
      <c r="J214" s="3">
        <v>2.8</v>
      </c>
      <c r="K214" s="3">
        <v>0</v>
      </c>
      <c r="L214" s="3">
        <v>4.3</v>
      </c>
      <c r="M214" s="3">
        <v>812152.6</v>
      </c>
      <c r="N214" s="3">
        <v>138419.43</v>
      </c>
    </row>
    <row r="215" spans="1:14">
      <c r="A215" s="3" t="s">
        <v>75</v>
      </c>
      <c r="B215" s="5">
        <v>45689</v>
      </c>
      <c r="C215" s="3" t="s">
        <v>27</v>
      </c>
      <c r="D215" s="3" t="s">
        <v>16</v>
      </c>
      <c r="E215" s="3">
        <v>41819.449999999997</v>
      </c>
      <c r="F215" s="3">
        <v>9412</v>
      </c>
      <c r="G215" s="3">
        <v>0.15</v>
      </c>
      <c r="H215" s="3">
        <v>22</v>
      </c>
      <c r="I215" s="3">
        <v>91</v>
      </c>
      <c r="J215" s="3">
        <v>3.67</v>
      </c>
      <c r="K215" s="3">
        <v>0</v>
      </c>
      <c r="L215" s="3">
        <v>4.2</v>
      </c>
      <c r="M215" s="3">
        <v>804975.5</v>
      </c>
      <c r="N215" s="3">
        <v>140054.5</v>
      </c>
    </row>
    <row r="216" spans="1:14">
      <c r="A216" s="3" t="s">
        <v>75</v>
      </c>
      <c r="B216" s="5">
        <v>45717</v>
      </c>
      <c r="C216" s="3" t="s">
        <v>27</v>
      </c>
      <c r="D216" s="3" t="s">
        <v>16</v>
      </c>
      <c r="E216" s="3">
        <v>35296.54</v>
      </c>
      <c r="F216" s="3">
        <v>9644</v>
      </c>
      <c r="G216" s="3">
        <v>0</v>
      </c>
      <c r="H216" s="3">
        <v>22</v>
      </c>
      <c r="I216" s="3">
        <v>88</v>
      </c>
      <c r="J216" s="3">
        <v>2.81</v>
      </c>
      <c r="K216" s="3">
        <v>0</v>
      </c>
      <c r="L216" s="3">
        <v>4.7</v>
      </c>
      <c r="M216" s="3">
        <v>752321.72</v>
      </c>
      <c r="N216" s="3">
        <v>137788.51</v>
      </c>
    </row>
    <row r="217" spans="1:14">
      <c r="A217" s="3" t="s">
        <v>75</v>
      </c>
      <c r="B217" s="5">
        <v>45748</v>
      </c>
      <c r="C217" s="3" t="s">
        <v>27</v>
      </c>
      <c r="D217" s="3" t="s">
        <v>16</v>
      </c>
      <c r="E217" s="3">
        <v>47391.09</v>
      </c>
      <c r="F217" s="3">
        <v>11224</v>
      </c>
      <c r="G217" s="3">
        <v>0.14699999999999999</v>
      </c>
      <c r="H217" s="3">
        <v>25</v>
      </c>
      <c r="I217" s="3">
        <v>88.4</v>
      </c>
      <c r="J217" s="3">
        <v>2.44</v>
      </c>
      <c r="K217" s="3">
        <v>0</v>
      </c>
      <c r="L217" s="3">
        <v>4.9000000000000004</v>
      </c>
      <c r="M217" s="3">
        <v>836908.24</v>
      </c>
      <c r="N217" s="3">
        <v>141090.26</v>
      </c>
    </row>
    <row r="218" spans="1:14">
      <c r="A218" s="3" t="s">
        <v>76</v>
      </c>
      <c r="B218" s="5">
        <v>45658</v>
      </c>
      <c r="C218" s="3" t="s">
        <v>20</v>
      </c>
      <c r="D218" s="3" t="s">
        <v>21</v>
      </c>
      <c r="E218" s="3">
        <v>69180.539999999994</v>
      </c>
      <c r="F218" s="3">
        <v>5394</v>
      </c>
      <c r="G218" s="3">
        <v>0.126</v>
      </c>
      <c r="H218" s="3">
        <v>12</v>
      </c>
      <c r="I218" s="3">
        <v>82.9</v>
      </c>
      <c r="J218" s="3">
        <v>3.27</v>
      </c>
      <c r="K218" s="3">
        <v>0</v>
      </c>
      <c r="L218" s="3">
        <v>3.3</v>
      </c>
      <c r="M218" s="3">
        <v>674289.1</v>
      </c>
      <c r="N218" s="3">
        <v>117773.79</v>
      </c>
    </row>
    <row r="219" spans="1:14">
      <c r="A219" s="3" t="s">
        <v>76</v>
      </c>
      <c r="B219" s="5">
        <v>45689</v>
      </c>
      <c r="C219" s="3" t="s">
        <v>20</v>
      </c>
      <c r="D219" s="3" t="s">
        <v>21</v>
      </c>
      <c r="E219" s="3">
        <v>33987.33</v>
      </c>
      <c r="F219" s="3">
        <v>5014</v>
      </c>
      <c r="G219" s="3">
        <v>0.246</v>
      </c>
      <c r="H219" s="3">
        <v>17</v>
      </c>
      <c r="I219" s="3">
        <v>94.3</v>
      </c>
      <c r="J219" s="3">
        <v>10.34</v>
      </c>
      <c r="K219" s="3">
        <v>0</v>
      </c>
      <c r="L219" s="3">
        <v>3.9</v>
      </c>
      <c r="M219" s="3">
        <v>622892.42000000004</v>
      </c>
      <c r="N219" s="3">
        <v>101032.52</v>
      </c>
    </row>
    <row r="220" spans="1:14">
      <c r="A220" s="3" t="s">
        <v>76</v>
      </c>
      <c r="B220" s="5">
        <v>45717</v>
      </c>
      <c r="C220" s="3" t="s">
        <v>20</v>
      </c>
      <c r="D220" s="3" t="s">
        <v>21</v>
      </c>
      <c r="E220" s="3">
        <v>58785.33</v>
      </c>
      <c r="F220" s="3">
        <v>4467</v>
      </c>
      <c r="G220" s="3">
        <v>0.22900000000000001</v>
      </c>
      <c r="H220" s="3">
        <v>14</v>
      </c>
      <c r="I220" s="3">
        <v>90.7</v>
      </c>
      <c r="J220" s="3">
        <v>1.92</v>
      </c>
      <c r="K220" s="3">
        <v>0</v>
      </c>
      <c r="L220" s="3">
        <v>3.7</v>
      </c>
      <c r="M220" s="3">
        <v>673348.56</v>
      </c>
      <c r="N220" s="3">
        <v>69464.59</v>
      </c>
    </row>
    <row r="221" spans="1:14">
      <c r="A221" s="3" t="s">
        <v>76</v>
      </c>
      <c r="B221" s="5">
        <v>45748</v>
      </c>
      <c r="C221" s="3" t="s">
        <v>20</v>
      </c>
      <c r="D221" s="3" t="s">
        <v>21</v>
      </c>
      <c r="E221" s="3">
        <v>16451.849999999999</v>
      </c>
      <c r="F221" s="3">
        <v>4678</v>
      </c>
      <c r="G221" s="3">
        <v>0.13300000000000001</v>
      </c>
      <c r="H221" s="3">
        <v>11</v>
      </c>
      <c r="I221" s="3">
        <v>95.9</v>
      </c>
      <c r="J221" s="3">
        <v>3.1</v>
      </c>
      <c r="K221" s="3">
        <v>0</v>
      </c>
      <c r="L221" s="3">
        <v>3.9</v>
      </c>
      <c r="M221" s="3">
        <v>606278.30000000005</v>
      </c>
      <c r="N221" s="3">
        <v>102213.26</v>
      </c>
    </row>
    <row r="222" spans="1:14">
      <c r="A222" s="3" t="s">
        <v>77</v>
      </c>
      <c r="B222" s="5">
        <v>45658</v>
      </c>
      <c r="C222" s="3" t="s">
        <v>15</v>
      </c>
      <c r="D222" s="3" t="s">
        <v>18</v>
      </c>
      <c r="E222" s="3">
        <v>53367.73</v>
      </c>
      <c r="F222" s="3">
        <v>7291</v>
      </c>
      <c r="G222" s="3">
        <v>0.14599999999999999</v>
      </c>
      <c r="H222" s="3">
        <v>18</v>
      </c>
      <c r="I222" s="3">
        <v>90.6</v>
      </c>
      <c r="J222" s="3">
        <v>6.34</v>
      </c>
      <c r="K222" s="3">
        <v>1</v>
      </c>
      <c r="L222" s="3">
        <v>3.8</v>
      </c>
      <c r="M222" s="3">
        <v>712219.81</v>
      </c>
      <c r="N222" s="3">
        <v>85906.54</v>
      </c>
    </row>
    <row r="223" spans="1:14">
      <c r="A223" s="3" t="s">
        <v>77</v>
      </c>
      <c r="B223" s="5">
        <v>45689</v>
      </c>
      <c r="C223" s="3" t="s">
        <v>15</v>
      </c>
      <c r="D223" s="3" t="s">
        <v>18</v>
      </c>
      <c r="E223" s="3">
        <v>27194.639999999999</v>
      </c>
      <c r="F223" s="3">
        <v>7404</v>
      </c>
      <c r="G223" s="3">
        <v>8.7999999999999995E-2</v>
      </c>
      <c r="H223" s="3">
        <v>18</v>
      </c>
      <c r="I223" s="3">
        <v>90.2</v>
      </c>
      <c r="J223" s="3">
        <v>1.2</v>
      </c>
      <c r="K223" s="3">
        <v>0</v>
      </c>
      <c r="L223" s="3">
        <v>3.4</v>
      </c>
      <c r="M223" s="3">
        <v>672670.54</v>
      </c>
      <c r="N223" s="3">
        <v>132684.18</v>
      </c>
    </row>
    <row r="224" spans="1:14">
      <c r="A224" s="3" t="s">
        <v>77</v>
      </c>
      <c r="B224" s="5">
        <v>45717</v>
      </c>
      <c r="C224" s="3" t="s">
        <v>15</v>
      </c>
      <c r="D224" s="3" t="s">
        <v>18</v>
      </c>
      <c r="E224" s="3">
        <v>66962.740000000005</v>
      </c>
      <c r="F224" s="3">
        <v>7880</v>
      </c>
      <c r="G224" s="3">
        <v>0.11600000000000001</v>
      </c>
      <c r="H224" s="3">
        <v>19</v>
      </c>
      <c r="I224" s="3">
        <v>90.4</v>
      </c>
      <c r="J224" s="3">
        <v>4.5</v>
      </c>
      <c r="K224" s="3">
        <v>0</v>
      </c>
      <c r="L224" s="3">
        <v>3.3</v>
      </c>
      <c r="M224" s="3">
        <v>732667.92</v>
      </c>
      <c r="N224" s="3">
        <v>128654.46</v>
      </c>
    </row>
    <row r="225" spans="1:14">
      <c r="A225" s="3" t="s">
        <v>77</v>
      </c>
      <c r="B225" s="5">
        <v>45748</v>
      </c>
      <c r="C225" s="3" t="s">
        <v>15</v>
      </c>
      <c r="D225" s="3" t="s">
        <v>18</v>
      </c>
      <c r="E225" s="3">
        <v>73540.990000000005</v>
      </c>
      <c r="F225" s="3">
        <v>8773</v>
      </c>
      <c r="G225" s="3">
        <v>3.5000000000000003E-2</v>
      </c>
      <c r="H225" s="3">
        <v>21</v>
      </c>
      <c r="I225" s="3">
        <v>84.4</v>
      </c>
      <c r="J225" s="3">
        <v>6.68</v>
      </c>
      <c r="K225" s="3">
        <v>0</v>
      </c>
      <c r="L225" s="3">
        <v>3.6</v>
      </c>
      <c r="M225" s="3">
        <v>723531.4</v>
      </c>
      <c r="N225" s="3">
        <v>108794.85</v>
      </c>
    </row>
    <row r="226" spans="1:14">
      <c r="A226" s="3" t="s">
        <v>78</v>
      </c>
      <c r="B226" s="5">
        <v>45658</v>
      </c>
      <c r="C226" s="3" t="s">
        <v>15</v>
      </c>
      <c r="D226" s="3" t="s">
        <v>28</v>
      </c>
      <c r="E226" s="3">
        <v>68212.289999999994</v>
      </c>
      <c r="F226" s="3">
        <v>4713</v>
      </c>
      <c r="G226" s="3">
        <v>0.19800000000000001</v>
      </c>
      <c r="H226" s="3">
        <v>15</v>
      </c>
      <c r="I226" s="3">
        <v>82.6</v>
      </c>
      <c r="J226" s="3">
        <v>4.07</v>
      </c>
      <c r="K226" s="3">
        <v>1</v>
      </c>
      <c r="L226" s="3">
        <v>3</v>
      </c>
      <c r="M226" s="3">
        <v>641564.6</v>
      </c>
      <c r="N226" s="3">
        <v>90468.96</v>
      </c>
    </row>
    <row r="227" spans="1:14">
      <c r="A227" s="3" t="s">
        <v>78</v>
      </c>
      <c r="B227" s="5">
        <v>45689</v>
      </c>
      <c r="C227" s="3" t="s">
        <v>15</v>
      </c>
      <c r="D227" s="3" t="s">
        <v>28</v>
      </c>
      <c r="E227" s="3">
        <v>57225.98</v>
      </c>
      <c r="F227" s="3">
        <v>2842</v>
      </c>
      <c r="G227" s="3">
        <v>0.112</v>
      </c>
      <c r="H227" s="3">
        <v>10</v>
      </c>
      <c r="I227" s="3">
        <v>79.5</v>
      </c>
      <c r="J227" s="3">
        <v>5.45</v>
      </c>
      <c r="K227" s="3">
        <v>0</v>
      </c>
      <c r="L227" s="3">
        <v>3.4</v>
      </c>
      <c r="M227" s="3">
        <v>536545.49</v>
      </c>
      <c r="N227" s="3">
        <v>97917.45</v>
      </c>
    </row>
    <row r="228" spans="1:14">
      <c r="A228" s="3" t="s">
        <v>78</v>
      </c>
      <c r="B228" s="5">
        <v>45717</v>
      </c>
      <c r="C228" s="3" t="s">
        <v>15</v>
      </c>
      <c r="D228" s="3" t="s">
        <v>28</v>
      </c>
      <c r="E228" s="3">
        <v>42932.02</v>
      </c>
      <c r="F228" s="3">
        <v>3872</v>
      </c>
      <c r="G228" s="3">
        <v>0.17100000000000001</v>
      </c>
      <c r="H228" s="3">
        <v>12</v>
      </c>
      <c r="I228" s="3">
        <v>83.2</v>
      </c>
      <c r="J228" s="3">
        <v>15.58</v>
      </c>
      <c r="K228" s="3">
        <v>0</v>
      </c>
      <c r="L228" s="3">
        <v>3.3</v>
      </c>
      <c r="M228" s="3">
        <v>527681.56000000006</v>
      </c>
      <c r="N228" s="3">
        <v>63153.05</v>
      </c>
    </row>
    <row r="229" spans="1:14">
      <c r="A229" s="3" t="s">
        <v>78</v>
      </c>
      <c r="B229" s="5">
        <v>45748</v>
      </c>
      <c r="C229" s="3" t="s">
        <v>15</v>
      </c>
      <c r="D229" s="3" t="s">
        <v>28</v>
      </c>
      <c r="E229" s="3">
        <v>39341.449999999997</v>
      </c>
      <c r="F229" s="3">
        <v>1375</v>
      </c>
      <c r="G229" s="3">
        <v>9.2999999999999999E-2</v>
      </c>
      <c r="H229" s="3">
        <v>5</v>
      </c>
      <c r="I229" s="3">
        <v>95</v>
      </c>
      <c r="J229" s="3">
        <v>5.32</v>
      </c>
      <c r="K229" s="3">
        <v>0</v>
      </c>
      <c r="L229" s="3"/>
      <c r="M229" s="3">
        <v>529598.93999999994</v>
      </c>
      <c r="N229" s="3">
        <v>84334.33</v>
      </c>
    </row>
    <row r="230" spans="1:14">
      <c r="A230" s="3" t="s">
        <v>79</v>
      </c>
      <c r="B230" s="5">
        <v>45658</v>
      </c>
      <c r="C230" s="3" t="s">
        <v>15</v>
      </c>
      <c r="D230" s="3" t="s">
        <v>18</v>
      </c>
      <c r="E230" s="3">
        <v>37324.230000000003</v>
      </c>
      <c r="F230" s="3">
        <v>5957</v>
      </c>
      <c r="G230" s="3">
        <v>7.0999999999999994E-2</v>
      </c>
      <c r="H230" s="3">
        <v>12</v>
      </c>
      <c r="I230" s="3">
        <v>85.9</v>
      </c>
      <c r="J230" s="3">
        <v>0.37</v>
      </c>
      <c r="K230" s="3">
        <v>0</v>
      </c>
      <c r="L230" s="3">
        <v>3.8</v>
      </c>
      <c r="M230" s="3">
        <v>570963.31000000006</v>
      </c>
      <c r="N230" s="3">
        <v>87342.25</v>
      </c>
    </row>
    <row r="231" spans="1:14">
      <c r="A231" s="3" t="s">
        <v>79</v>
      </c>
      <c r="B231" s="5">
        <v>45689</v>
      </c>
      <c r="C231" s="3" t="s">
        <v>15</v>
      </c>
      <c r="D231" s="3" t="s">
        <v>18</v>
      </c>
      <c r="E231" s="3">
        <v>113736</v>
      </c>
      <c r="F231" s="3">
        <v>8961</v>
      </c>
      <c r="G231" s="3">
        <v>0.20200000000000001</v>
      </c>
      <c r="H231" s="3">
        <v>24</v>
      </c>
      <c r="I231" s="3">
        <v>86.2</v>
      </c>
      <c r="J231" s="3">
        <v>21.63</v>
      </c>
      <c r="K231" s="3">
        <v>0</v>
      </c>
      <c r="L231" s="3">
        <v>4</v>
      </c>
      <c r="M231" s="3">
        <v>870937.4</v>
      </c>
      <c r="N231" s="3">
        <v>175282.74</v>
      </c>
    </row>
    <row r="232" spans="1:14">
      <c r="A232" s="3" t="s">
        <v>79</v>
      </c>
      <c r="B232" s="5">
        <v>45717</v>
      </c>
      <c r="C232" s="3" t="s">
        <v>15</v>
      </c>
      <c r="D232" s="3" t="s">
        <v>18</v>
      </c>
      <c r="E232" s="3">
        <v>33173.949999999997</v>
      </c>
      <c r="F232" s="3">
        <v>6545</v>
      </c>
      <c r="G232" s="3">
        <v>0.16900000000000001</v>
      </c>
      <c r="H232" s="3">
        <v>15</v>
      </c>
      <c r="I232" s="3">
        <v>84.4</v>
      </c>
      <c r="J232" s="3">
        <v>2.48</v>
      </c>
      <c r="K232" s="3">
        <v>0</v>
      </c>
      <c r="L232" s="3">
        <v>3.9</v>
      </c>
      <c r="M232" s="3">
        <v>596969.27</v>
      </c>
      <c r="N232" s="3">
        <v>105669.51</v>
      </c>
    </row>
    <row r="233" spans="1:14">
      <c r="A233" s="3" t="s">
        <v>79</v>
      </c>
      <c r="B233" s="5">
        <v>45748</v>
      </c>
      <c r="C233" s="3" t="s">
        <v>15</v>
      </c>
      <c r="D233" s="3" t="s">
        <v>18</v>
      </c>
      <c r="E233" s="3">
        <v>25818.080000000002</v>
      </c>
      <c r="F233" s="3">
        <v>5457</v>
      </c>
      <c r="G233" s="3">
        <v>0</v>
      </c>
      <c r="H233" s="3">
        <v>11</v>
      </c>
      <c r="I233" s="3">
        <v>95.4</v>
      </c>
      <c r="J233" s="3"/>
      <c r="K233" s="3">
        <v>0</v>
      </c>
      <c r="L233" s="3">
        <v>3.7</v>
      </c>
      <c r="M233" s="3">
        <v>647512.85</v>
      </c>
      <c r="N233" s="3">
        <v>153835.57</v>
      </c>
    </row>
    <row r="234" spans="1:14">
      <c r="A234" s="3" t="s">
        <v>80</v>
      </c>
      <c r="B234" s="5">
        <v>45658</v>
      </c>
      <c r="C234" s="3" t="s">
        <v>27</v>
      </c>
      <c r="D234" s="3" t="s">
        <v>16</v>
      </c>
      <c r="E234" s="3">
        <v>47241.919999999998</v>
      </c>
      <c r="F234" s="3">
        <v>4264</v>
      </c>
      <c r="G234" s="3">
        <v>6.9000000000000006E-2</v>
      </c>
      <c r="H234" s="3">
        <v>13</v>
      </c>
      <c r="I234" s="3">
        <v>95.3</v>
      </c>
      <c r="J234" s="3">
        <v>0.85</v>
      </c>
      <c r="K234" s="3">
        <v>0</v>
      </c>
      <c r="L234" s="3">
        <v>4.3</v>
      </c>
      <c r="M234" s="3">
        <v>658072.14</v>
      </c>
      <c r="N234" s="3">
        <v>110595.89</v>
      </c>
    </row>
    <row r="235" spans="1:14">
      <c r="A235" s="3" t="s">
        <v>80</v>
      </c>
      <c r="B235" s="5">
        <v>45689</v>
      </c>
      <c r="C235" s="3" t="s">
        <v>27</v>
      </c>
      <c r="D235" s="3" t="s">
        <v>16</v>
      </c>
      <c r="E235" s="3">
        <v>61650.79</v>
      </c>
      <c r="F235" s="3">
        <v>5321</v>
      </c>
      <c r="G235" s="3">
        <v>0.126</v>
      </c>
      <c r="H235" s="3">
        <v>17</v>
      </c>
      <c r="I235" s="3">
        <v>89.2</v>
      </c>
      <c r="J235" s="3">
        <v>2.13</v>
      </c>
      <c r="K235" s="3">
        <v>0</v>
      </c>
      <c r="L235" s="3">
        <v>4</v>
      </c>
      <c r="M235" s="3">
        <v>723305.11</v>
      </c>
      <c r="N235" s="3">
        <v>128468.7</v>
      </c>
    </row>
    <row r="236" spans="1:14">
      <c r="A236" s="3" t="s">
        <v>80</v>
      </c>
      <c r="B236" s="5">
        <v>45717</v>
      </c>
      <c r="C236" s="3" t="s">
        <v>27</v>
      </c>
      <c r="D236" s="3" t="s">
        <v>16</v>
      </c>
      <c r="E236" s="3">
        <v>62582.71</v>
      </c>
      <c r="F236" s="3">
        <v>5479</v>
      </c>
      <c r="G236" s="3">
        <v>4.8000000000000001E-2</v>
      </c>
      <c r="H236" s="3">
        <v>16</v>
      </c>
      <c r="I236" s="3">
        <v>81.2</v>
      </c>
      <c r="J236" s="3">
        <v>1.46</v>
      </c>
      <c r="K236" s="3">
        <v>0</v>
      </c>
      <c r="L236" s="3">
        <v>4.5</v>
      </c>
      <c r="M236" s="3">
        <v>640666.53</v>
      </c>
      <c r="N236" s="3">
        <v>134919.16</v>
      </c>
    </row>
    <row r="237" spans="1:14">
      <c r="A237" s="3" t="s">
        <v>80</v>
      </c>
      <c r="B237" s="5">
        <v>45748</v>
      </c>
      <c r="C237" s="3" t="s">
        <v>27</v>
      </c>
      <c r="D237" s="3" t="s">
        <v>16</v>
      </c>
      <c r="E237" s="3">
        <v>47944.14</v>
      </c>
      <c r="F237" s="3">
        <v>6169</v>
      </c>
      <c r="G237" s="3">
        <v>0.11899999999999999</v>
      </c>
      <c r="H237" s="3">
        <v>17</v>
      </c>
      <c r="I237" s="3">
        <v>92.2</v>
      </c>
      <c r="J237" s="3">
        <v>3.02</v>
      </c>
      <c r="K237" s="3">
        <v>0</v>
      </c>
      <c r="L237" s="3">
        <v>4.0999999999999996</v>
      </c>
      <c r="M237" s="3">
        <v>670629.48</v>
      </c>
      <c r="N237" s="3">
        <v>100140.8</v>
      </c>
    </row>
    <row r="238" spans="1:14">
      <c r="A238" s="3" t="s">
        <v>81</v>
      </c>
      <c r="B238" s="5">
        <v>45658</v>
      </c>
      <c r="C238" s="3" t="s">
        <v>27</v>
      </c>
      <c r="D238" s="3" t="s">
        <v>28</v>
      </c>
      <c r="E238" s="3">
        <v>46495.4</v>
      </c>
      <c r="F238" s="3">
        <v>9908</v>
      </c>
      <c r="G238" s="3">
        <v>0.121</v>
      </c>
      <c r="H238" s="3">
        <v>22</v>
      </c>
      <c r="I238" s="3">
        <v>89.4</v>
      </c>
      <c r="J238" s="3">
        <v>3.22</v>
      </c>
      <c r="K238" s="3">
        <v>0</v>
      </c>
      <c r="L238" s="3">
        <v>3.7</v>
      </c>
      <c r="M238" s="3">
        <v>721079.35</v>
      </c>
      <c r="N238" s="3">
        <v>115295.05</v>
      </c>
    </row>
    <row r="239" spans="1:14">
      <c r="A239" s="3" t="s">
        <v>81</v>
      </c>
      <c r="B239" s="5">
        <v>45689</v>
      </c>
      <c r="C239" s="3" t="s">
        <v>27</v>
      </c>
      <c r="D239" s="3" t="s">
        <v>28</v>
      </c>
      <c r="E239" s="3">
        <v>72961.95</v>
      </c>
      <c r="F239" s="3">
        <v>9996</v>
      </c>
      <c r="G239" s="3">
        <v>0.106</v>
      </c>
      <c r="H239" s="3">
        <v>22</v>
      </c>
      <c r="I239" s="3">
        <v>89.1</v>
      </c>
      <c r="J239" s="3">
        <v>15.66</v>
      </c>
      <c r="K239" s="3">
        <v>0</v>
      </c>
      <c r="L239" s="3">
        <v>3.4</v>
      </c>
      <c r="M239" s="3">
        <v>810355.02</v>
      </c>
      <c r="N239" s="3">
        <v>131510</v>
      </c>
    </row>
    <row r="240" spans="1:14">
      <c r="A240" s="3" t="s">
        <v>81</v>
      </c>
      <c r="B240" s="5">
        <v>45717</v>
      </c>
      <c r="C240" s="3" t="s">
        <v>27</v>
      </c>
      <c r="D240" s="3" t="s">
        <v>28</v>
      </c>
      <c r="E240" s="3">
        <v>59060.05</v>
      </c>
      <c r="F240" s="3">
        <v>9702</v>
      </c>
      <c r="G240" s="3">
        <v>0.20100000000000001</v>
      </c>
      <c r="H240" s="3">
        <v>23</v>
      </c>
      <c r="I240" s="3">
        <v>80.900000000000006</v>
      </c>
      <c r="J240" s="3">
        <v>6.96</v>
      </c>
      <c r="K240" s="3">
        <v>0</v>
      </c>
      <c r="L240" s="3">
        <v>3.2</v>
      </c>
      <c r="M240" s="3">
        <v>761919.25</v>
      </c>
      <c r="N240" s="3">
        <v>111893.06</v>
      </c>
    </row>
    <row r="241" spans="1:14">
      <c r="A241" s="3" t="s">
        <v>81</v>
      </c>
      <c r="B241" s="5">
        <v>45748</v>
      </c>
      <c r="C241" s="3" t="s">
        <v>27</v>
      </c>
      <c r="D241" s="3" t="s">
        <v>28</v>
      </c>
      <c r="E241" s="3">
        <v>26248.1</v>
      </c>
      <c r="F241" s="3">
        <v>9314</v>
      </c>
      <c r="G241" s="3">
        <v>0.186</v>
      </c>
      <c r="H241" s="3">
        <v>21</v>
      </c>
      <c r="I241" s="3">
        <v>83.7</v>
      </c>
      <c r="J241" s="3">
        <v>4.62</v>
      </c>
      <c r="K241" s="3">
        <v>0</v>
      </c>
      <c r="L241" s="3">
        <v>3.3</v>
      </c>
      <c r="M241" s="3">
        <v>737070.18</v>
      </c>
      <c r="N241" s="3">
        <v>117593.97</v>
      </c>
    </row>
    <row r="242" spans="1:14">
      <c r="A242" s="3" t="s">
        <v>82</v>
      </c>
      <c r="B242" s="5">
        <v>45658</v>
      </c>
      <c r="C242" s="3" t="s">
        <v>24</v>
      </c>
      <c r="D242" s="3" t="s">
        <v>21</v>
      </c>
      <c r="E242" s="3">
        <v>69900.12</v>
      </c>
      <c r="F242" s="3">
        <v>8055</v>
      </c>
      <c r="G242" s="3">
        <v>0.28100000000000003</v>
      </c>
      <c r="H242" s="3">
        <v>22</v>
      </c>
      <c r="I242" s="3">
        <v>85.6</v>
      </c>
      <c r="J242" s="3">
        <v>10.68</v>
      </c>
      <c r="K242" s="3">
        <v>1</v>
      </c>
      <c r="L242" s="3">
        <v>2.9</v>
      </c>
      <c r="M242" s="3">
        <v>776992.93</v>
      </c>
      <c r="N242" s="3">
        <v>101598.32</v>
      </c>
    </row>
    <row r="243" spans="1:14">
      <c r="A243" s="3" t="s">
        <v>82</v>
      </c>
      <c r="B243" s="5">
        <v>45689</v>
      </c>
      <c r="C243" s="3" t="s">
        <v>24</v>
      </c>
      <c r="D243" s="3" t="s">
        <v>21</v>
      </c>
      <c r="E243" s="3">
        <v>51781.599999999999</v>
      </c>
      <c r="F243" s="3">
        <v>5648</v>
      </c>
      <c r="G243" s="3">
        <v>5.8999999999999997E-2</v>
      </c>
      <c r="H243" s="3">
        <v>13</v>
      </c>
      <c r="I243" s="3">
        <v>85.5</v>
      </c>
      <c r="J243" s="3">
        <v>4.04</v>
      </c>
      <c r="K243" s="3">
        <v>0</v>
      </c>
      <c r="L243" s="3">
        <v>3.7</v>
      </c>
      <c r="M243" s="3">
        <v>676337.41</v>
      </c>
      <c r="N243" s="3">
        <v>104355.77</v>
      </c>
    </row>
    <row r="244" spans="1:14">
      <c r="A244" s="3" t="s">
        <v>82</v>
      </c>
      <c r="B244" s="5">
        <v>45717</v>
      </c>
      <c r="C244" s="3" t="s">
        <v>24</v>
      </c>
      <c r="D244" s="3" t="s">
        <v>21</v>
      </c>
      <c r="E244" s="3">
        <v>70799.64</v>
      </c>
      <c r="F244" s="3">
        <v>10076</v>
      </c>
      <c r="G244" s="3">
        <v>0.152</v>
      </c>
      <c r="H244" s="3">
        <v>24</v>
      </c>
      <c r="I244" s="3">
        <v>84.8</v>
      </c>
      <c r="J244" s="3">
        <v>1.87</v>
      </c>
      <c r="K244" s="3">
        <v>0</v>
      </c>
      <c r="L244" s="3">
        <v>3.5</v>
      </c>
      <c r="M244" s="3">
        <v>828219.67</v>
      </c>
      <c r="N244" s="3">
        <v>179806.87</v>
      </c>
    </row>
    <row r="245" spans="1:14">
      <c r="A245" s="3" t="s">
        <v>82</v>
      </c>
      <c r="B245" s="5">
        <v>45748</v>
      </c>
      <c r="C245" s="3" t="s">
        <v>24</v>
      </c>
      <c r="D245" s="3" t="s">
        <v>21</v>
      </c>
      <c r="E245" s="3">
        <v>53546.34</v>
      </c>
      <c r="F245" s="3">
        <v>8004</v>
      </c>
      <c r="G245" s="3">
        <v>0</v>
      </c>
      <c r="H245" s="3">
        <v>21</v>
      </c>
      <c r="I245" s="3">
        <v>95.2</v>
      </c>
      <c r="J245" s="3">
        <v>2.83</v>
      </c>
      <c r="K245" s="3">
        <v>0</v>
      </c>
      <c r="L245" s="3">
        <v>3</v>
      </c>
      <c r="M245" s="3">
        <v>763159.92</v>
      </c>
      <c r="N245" s="3">
        <v>177104.87</v>
      </c>
    </row>
    <row r="246" spans="1:14">
      <c r="A246" s="3" t="s">
        <v>83</v>
      </c>
      <c r="B246" s="5">
        <v>45658</v>
      </c>
      <c r="C246" s="3" t="s">
        <v>15</v>
      </c>
      <c r="D246" s="3" t="s">
        <v>18</v>
      </c>
      <c r="E246" s="3">
        <v>76942.2</v>
      </c>
      <c r="F246" s="3">
        <v>8934</v>
      </c>
      <c r="G246" s="3">
        <v>8.4000000000000005E-2</v>
      </c>
      <c r="H246" s="3">
        <v>20</v>
      </c>
      <c r="I246" s="3">
        <v>91</v>
      </c>
      <c r="J246" s="3">
        <v>0.95</v>
      </c>
      <c r="K246" s="3">
        <v>0</v>
      </c>
      <c r="L246" s="3">
        <v>3.2</v>
      </c>
      <c r="M246" s="3">
        <v>802001.68</v>
      </c>
      <c r="N246" s="3">
        <v>159715.82</v>
      </c>
    </row>
    <row r="247" spans="1:14">
      <c r="A247" s="3" t="s">
        <v>83</v>
      </c>
      <c r="B247" s="5">
        <v>45689</v>
      </c>
      <c r="C247" s="3" t="s">
        <v>15</v>
      </c>
      <c r="D247" s="3" t="s">
        <v>18</v>
      </c>
      <c r="E247" s="3">
        <v>48060.78</v>
      </c>
      <c r="F247" s="3">
        <v>8733</v>
      </c>
      <c r="G247" s="3">
        <v>0</v>
      </c>
      <c r="H247" s="3">
        <v>20</v>
      </c>
      <c r="I247" s="3">
        <v>89.9</v>
      </c>
      <c r="J247" s="3">
        <v>0.8</v>
      </c>
      <c r="K247" s="3">
        <v>0</v>
      </c>
      <c r="L247" s="3">
        <v>3.4</v>
      </c>
      <c r="M247" s="3">
        <v>750471.34</v>
      </c>
      <c r="N247" s="3">
        <v>133788.04</v>
      </c>
    </row>
    <row r="248" spans="1:14">
      <c r="A248" s="3" t="s">
        <v>83</v>
      </c>
      <c r="B248" s="5">
        <v>45717</v>
      </c>
      <c r="C248" s="3" t="s">
        <v>15</v>
      </c>
      <c r="D248" s="3" t="s">
        <v>18</v>
      </c>
      <c r="E248" s="3">
        <v>57390.04</v>
      </c>
      <c r="F248" s="3">
        <v>7374</v>
      </c>
      <c r="G248" s="3">
        <v>0.21</v>
      </c>
      <c r="H248" s="3">
        <v>21</v>
      </c>
      <c r="I248" s="3">
        <v>91.8</v>
      </c>
      <c r="J248" s="3">
        <v>0.2</v>
      </c>
      <c r="K248" s="3">
        <v>0</v>
      </c>
      <c r="L248" s="3">
        <v>3.1</v>
      </c>
      <c r="M248" s="3">
        <v>679230.86</v>
      </c>
      <c r="N248" s="3">
        <v>106927.58</v>
      </c>
    </row>
    <row r="249" spans="1:14">
      <c r="A249" s="3" t="s">
        <v>83</v>
      </c>
      <c r="B249" s="5">
        <v>45748</v>
      </c>
      <c r="C249" s="3" t="s">
        <v>15</v>
      </c>
      <c r="D249" s="3" t="s">
        <v>18</v>
      </c>
      <c r="E249" s="3">
        <v>21536.18</v>
      </c>
      <c r="F249" s="3">
        <v>8119</v>
      </c>
      <c r="G249" s="3">
        <v>0.22700000000000001</v>
      </c>
      <c r="H249" s="3">
        <v>20</v>
      </c>
      <c r="I249" s="3">
        <v>90.4</v>
      </c>
      <c r="J249" s="3">
        <v>1.7</v>
      </c>
      <c r="K249" s="3">
        <v>0</v>
      </c>
      <c r="L249" s="3">
        <v>3.3</v>
      </c>
      <c r="M249" s="3">
        <v>679888.74</v>
      </c>
      <c r="N249" s="3">
        <v>83406.89</v>
      </c>
    </row>
    <row r="250" spans="1:14">
      <c r="A250" s="3" t="s">
        <v>84</v>
      </c>
      <c r="B250" s="5">
        <v>45658</v>
      </c>
      <c r="C250" s="3" t="s">
        <v>20</v>
      </c>
      <c r="D250" s="3" t="s">
        <v>18</v>
      </c>
      <c r="E250" s="3">
        <v>40923.67</v>
      </c>
      <c r="F250" s="3">
        <v>3875</v>
      </c>
      <c r="G250" s="3">
        <v>0.15</v>
      </c>
      <c r="H250" s="3">
        <v>10</v>
      </c>
      <c r="I250" s="3">
        <v>96.1</v>
      </c>
      <c r="J250" s="3"/>
      <c r="K250" s="3">
        <v>0</v>
      </c>
      <c r="L250" s="3">
        <v>3.8</v>
      </c>
      <c r="M250" s="3">
        <v>606783.67000000004</v>
      </c>
      <c r="N250" s="3">
        <v>74515.87</v>
      </c>
    </row>
    <row r="251" spans="1:14">
      <c r="A251" s="3" t="s">
        <v>84</v>
      </c>
      <c r="B251" s="5">
        <v>45689</v>
      </c>
      <c r="C251" s="3" t="s">
        <v>20</v>
      </c>
      <c r="D251" s="3" t="s">
        <v>18</v>
      </c>
      <c r="E251" s="3">
        <v>72932.55</v>
      </c>
      <c r="F251" s="3">
        <v>5765</v>
      </c>
      <c r="G251" s="3">
        <v>2.5999999999999999E-2</v>
      </c>
      <c r="H251" s="3">
        <v>17</v>
      </c>
      <c r="I251" s="3">
        <v>81.8</v>
      </c>
      <c r="J251" s="3">
        <v>5.0999999999999996</v>
      </c>
      <c r="K251" s="3">
        <v>0</v>
      </c>
      <c r="L251" s="3">
        <v>3.6</v>
      </c>
      <c r="M251" s="3">
        <v>642751.42000000004</v>
      </c>
      <c r="N251" s="3">
        <v>131942.15</v>
      </c>
    </row>
    <row r="252" spans="1:14">
      <c r="A252" s="3" t="s">
        <v>84</v>
      </c>
      <c r="B252" s="5">
        <v>45717</v>
      </c>
      <c r="C252" s="3" t="s">
        <v>20</v>
      </c>
      <c r="D252" s="3" t="s">
        <v>18</v>
      </c>
      <c r="E252" s="3">
        <v>38361.93</v>
      </c>
      <c r="F252" s="3">
        <v>6322</v>
      </c>
      <c r="G252" s="3">
        <v>0.27300000000000002</v>
      </c>
      <c r="H252" s="3">
        <v>15</v>
      </c>
      <c r="I252" s="3">
        <v>88.4</v>
      </c>
      <c r="J252" s="3">
        <v>0.83</v>
      </c>
      <c r="K252" s="3">
        <v>0</v>
      </c>
      <c r="L252" s="3">
        <v>4</v>
      </c>
      <c r="M252" s="3">
        <v>647953.78</v>
      </c>
      <c r="N252" s="3">
        <v>118497.43</v>
      </c>
    </row>
    <row r="253" spans="1:14">
      <c r="A253" s="3" t="s">
        <v>84</v>
      </c>
      <c r="B253" s="5">
        <v>45748</v>
      </c>
      <c r="C253" s="3" t="s">
        <v>20</v>
      </c>
      <c r="D253" s="3" t="s">
        <v>18</v>
      </c>
      <c r="E253" s="3">
        <v>97480.94</v>
      </c>
      <c r="F253" s="3">
        <v>6840</v>
      </c>
      <c r="G253" s="3">
        <v>8.6999999999999994E-2</v>
      </c>
      <c r="H253" s="3">
        <v>14</v>
      </c>
      <c r="I253" s="3">
        <v>79.2</v>
      </c>
      <c r="J253" s="3">
        <v>1.1399999999999999</v>
      </c>
      <c r="K253" s="3">
        <v>0</v>
      </c>
      <c r="L253" s="3">
        <v>4</v>
      </c>
      <c r="M253" s="3">
        <v>729440.45</v>
      </c>
      <c r="N253" s="3">
        <v>87614.29</v>
      </c>
    </row>
    <row r="254" spans="1:14">
      <c r="A254" s="3" t="s">
        <v>85</v>
      </c>
      <c r="B254" s="5">
        <v>45658</v>
      </c>
      <c r="C254" s="3" t="s">
        <v>24</v>
      </c>
      <c r="D254" s="3" t="s">
        <v>21</v>
      </c>
      <c r="E254" s="3">
        <v>81801.8</v>
      </c>
      <c r="F254" s="3">
        <v>6782</v>
      </c>
      <c r="G254" s="3">
        <v>0.05</v>
      </c>
      <c r="H254" s="3">
        <v>16</v>
      </c>
      <c r="I254" s="3">
        <v>99</v>
      </c>
      <c r="J254" s="3">
        <v>9.5399999999999991</v>
      </c>
      <c r="K254" s="3">
        <v>0</v>
      </c>
      <c r="L254" s="3">
        <v>3.7</v>
      </c>
      <c r="M254" s="3">
        <v>764949</v>
      </c>
      <c r="N254" s="3">
        <v>148322.43</v>
      </c>
    </row>
    <row r="255" spans="1:14">
      <c r="A255" s="3" t="s">
        <v>85</v>
      </c>
      <c r="B255" s="5">
        <v>45689</v>
      </c>
      <c r="C255" s="3" t="s">
        <v>24</v>
      </c>
      <c r="D255" s="3" t="s">
        <v>21</v>
      </c>
      <c r="E255" s="3">
        <v>63582.11</v>
      </c>
      <c r="F255" s="3">
        <v>6856</v>
      </c>
      <c r="G255" s="3">
        <v>7.3999999999999996E-2</v>
      </c>
      <c r="H255" s="3">
        <v>17</v>
      </c>
      <c r="I255" s="3">
        <v>89.5</v>
      </c>
      <c r="J255" s="3">
        <v>5.48</v>
      </c>
      <c r="K255" s="3">
        <v>0</v>
      </c>
      <c r="L255" s="3">
        <v>3.2</v>
      </c>
      <c r="M255" s="3">
        <v>799046.94</v>
      </c>
      <c r="N255" s="3">
        <v>144553.64000000001</v>
      </c>
    </row>
    <row r="256" spans="1:14">
      <c r="A256" s="3" t="s">
        <v>85</v>
      </c>
      <c r="B256" s="5">
        <v>45717</v>
      </c>
      <c r="C256" s="3" t="s">
        <v>24</v>
      </c>
      <c r="D256" s="3" t="s">
        <v>21</v>
      </c>
      <c r="E256" s="3">
        <v>75412.740000000005</v>
      </c>
      <c r="F256" s="3">
        <v>5641</v>
      </c>
      <c r="G256" s="3">
        <v>5.8999999999999997E-2</v>
      </c>
      <c r="H256" s="3">
        <v>13</v>
      </c>
      <c r="I256" s="3">
        <v>87.9</v>
      </c>
      <c r="J256" s="3">
        <v>0.84</v>
      </c>
      <c r="K256" s="3">
        <v>0</v>
      </c>
      <c r="L256" s="3">
        <v>3.6</v>
      </c>
      <c r="M256" s="3">
        <v>720079.54</v>
      </c>
      <c r="N256" s="3">
        <v>119499.47</v>
      </c>
    </row>
    <row r="257" spans="1:14">
      <c r="A257" s="3" t="s">
        <v>85</v>
      </c>
      <c r="B257" s="5">
        <v>45748</v>
      </c>
      <c r="C257" s="3" t="s">
        <v>24</v>
      </c>
      <c r="D257" s="3" t="s">
        <v>21</v>
      </c>
      <c r="E257" s="3">
        <v>36290.080000000002</v>
      </c>
      <c r="F257" s="3">
        <v>5787</v>
      </c>
      <c r="G257" s="3">
        <v>0</v>
      </c>
      <c r="H257" s="3">
        <v>17</v>
      </c>
      <c r="I257" s="3">
        <v>88.3</v>
      </c>
      <c r="J257" s="3">
        <v>4.1900000000000004</v>
      </c>
      <c r="K257" s="3">
        <v>0</v>
      </c>
      <c r="L257" s="3">
        <v>4.0999999999999996</v>
      </c>
      <c r="M257" s="3">
        <v>612390.14</v>
      </c>
      <c r="N257" s="3">
        <v>108985.74</v>
      </c>
    </row>
    <row r="258" spans="1:14">
      <c r="A258" s="3" t="s">
        <v>86</v>
      </c>
      <c r="B258" s="5">
        <v>45658</v>
      </c>
      <c r="C258" s="3" t="s">
        <v>24</v>
      </c>
      <c r="D258" s="3" t="s">
        <v>28</v>
      </c>
      <c r="E258" s="3">
        <v>65272.58</v>
      </c>
      <c r="F258" s="3">
        <v>8165</v>
      </c>
      <c r="G258" s="3">
        <v>5.0999999999999997E-2</v>
      </c>
      <c r="H258" s="3">
        <v>19</v>
      </c>
      <c r="I258" s="3">
        <v>87.8</v>
      </c>
      <c r="J258" s="3">
        <v>1.26</v>
      </c>
      <c r="K258" s="3">
        <v>1</v>
      </c>
      <c r="L258" s="3">
        <v>4.3</v>
      </c>
      <c r="M258" s="3">
        <v>840108.12</v>
      </c>
      <c r="N258" s="3">
        <v>126587.01</v>
      </c>
    </row>
    <row r="259" spans="1:14">
      <c r="A259" s="3" t="s">
        <v>86</v>
      </c>
      <c r="B259" s="5">
        <v>45689</v>
      </c>
      <c r="C259" s="3" t="s">
        <v>24</v>
      </c>
      <c r="D259" s="3" t="s">
        <v>28</v>
      </c>
      <c r="E259" s="3">
        <v>28670.43</v>
      </c>
      <c r="F259" s="3">
        <v>7574</v>
      </c>
      <c r="G259" s="3">
        <v>0.114</v>
      </c>
      <c r="H259" s="3">
        <v>19</v>
      </c>
      <c r="I259" s="3">
        <v>82.7</v>
      </c>
      <c r="J259" s="3">
        <v>2.74</v>
      </c>
      <c r="K259" s="3">
        <v>0</v>
      </c>
      <c r="L259" s="3">
        <v>4.5999999999999996</v>
      </c>
      <c r="M259" s="3">
        <v>697888.09</v>
      </c>
      <c r="N259" s="3">
        <v>116249.87</v>
      </c>
    </row>
    <row r="260" spans="1:14">
      <c r="A260" s="3" t="s">
        <v>86</v>
      </c>
      <c r="B260" s="5">
        <v>45717</v>
      </c>
      <c r="C260" s="3" t="s">
        <v>24</v>
      </c>
      <c r="D260" s="3" t="s">
        <v>28</v>
      </c>
      <c r="E260" s="3">
        <v>44189.34</v>
      </c>
      <c r="F260" s="3">
        <v>8634</v>
      </c>
      <c r="G260" s="3">
        <v>0.14299999999999999</v>
      </c>
      <c r="H260" s="3">
        <v>19</v>
      </c>
      <c r="I260" s="3">
        <v>87.5</v>
      </c>
      <c r="J260" s="3">
        <v>3.69</v>
      </c>
      <c r="K260" s="3">
        <v>0</v>
      </c>
      <c r="L260" s="3">
        <v>4.4000000000000004</v>
      </c>
      <c r="M260" s="3">
        <v>746115.59</v>
      </c>
      <c r="N260" s="3">
        <v>94662.96</v>
      </c>
    </row>
    <row r="261" spans="1:14">
      <c r="A261" s="3" t="s">
        <v>86</v>
      </c>
      <c r="B261" s="5">
        <v>45748</v>
      </c>
      <c r="C261" s="3" t="s">
        <v>24</v>
      </c>
      <c r="D261" s="3" t="s">
        <v>28</v>
      </c>
      <c r="E261" s="3">
        <v>38397.82</v>
      </c>
      <c r="F261" s="3">
        <v>7836</v>
      </c>
      <c r="G261" s="3">
        <v>7.0000000000000001E-3</v>
      </c>
      <c r="H261" s="3">
        <v>21</v>
      </c>
      <c r="I261" s="3">
        <v>92.2</v>
      </c>
      <c r="J261" s="3">
        <v>1.82</v>
      </c>
      <c r="K261" s="3">
        <v>0</v>
      </c>
      <c r="L261" s="3">
        <v>3.6</v>
      </c>
      <c r="M261" s="3">
        <v>776110.32</v>
      </c>
      <c r="N261" s="3">
        <v>139676.21</v>
      </c>
    </row>
    <row r="262" spans="1:14">
      <c r="A262" s="3" t="s">
        <v>87</v>
      </c>
      <c r="B262" s="5">
        <v>45658</v>
      </c>
      <c r="C262" s="3" t="s">
        <v>27</v>
      </c>
      <c r="D262" s="3" t="s">
        <v>18</v>
      </c>
      <c r="E262" s="3">
        <v>14519.37</v>
      </c>
      <c r="F262" s="3">
        <v>3047</v>
      </c>
      <c r="G262" s="3">
        <v>0.13500000000000001</v>
      </c>
      <c r="H262" s="3">
        <v>10</v>
      </c>
      <c r="I262" s="3">
        <v>90.3</v>
      </c>
      <c r="J262" s="3">
        <v>6.62</v>
      </c>
      <c r="K262" s="3">
        <v>0</v>
      </c>
      <c r="L262" s="3">
        <v>4.2</v>
      </c>
      <c r="M262" s="3">
        <v>528852.62</v>
      </c>
      <c r="N262" s="3">
        <v>68426.210000000006</v>
      </c>
    </row>
    <row r="263" spans="1:14">
      <c r="A263" s="3" t="s">
        <v>87</v>
      </c>
      <c r="B263" s="5">
        <v>45689</v>
      </c>
      <c r="C263" s="3" t="s">
        <v>27</v>
      </c>
      <c r="D263" s="3" t="s">
        <v>18</v>
      </c>
      <c r="E263" s="3">
        <v>43288.2</v>
      </c>
      <c r="F263" s="3">
        <v>4783</v>
      </c>
      <c r="G263" s="3">
        <v>0.16900000000000001</v>
      </c>
      <c r="H263" s="3">
        <v>13</v>
      </c>
      <c r="I263" s="3">
        <v>87.3</v>
      </c>
      <c r="J263" s="3"/>
      <c r="K263" s="3">
        <v>0</v>
      </c>
      <c r="L263" s="3">
        <v>4.2</v>
      </c>
      <c r="M263" s="3">
        <v>605751.32999999996</v>
      </c>
      <c r="N263" s="3">
        <v>60685.53</v>
      </c>
    </row>
    <row r="264" spans="1:14">
      <c r="A264" s="3" t="s">
        <v>87</v>
      </c>
      <c r="B264" s="5">
        <v>45717</v>
      </c>
      <c r="C264" s="3" t="s">
        <v>27</v>
      </c>
      <c r="D264" s="3" t="s">
        <v>18</v>
      </c>
      <c r="E264" s="3">
        <v>51450.55</v>
      </c>
      <c r="F264" s="3">
        <v>4902</v>
      </c>
      <c r="G264" s="3">
        <v>8.5999999999999993E-2</v>
      </c>
      <c r="H264" s="3">
        <v>11</v>
      </c>
      <c r="I264" s="3">
        <v>83.7</v>
      </c>
      <c r="J264" s="3">
        <v>6.92</v>
      </c>
      <c r="K264" s="3">
        <v>1</v>
      </c>
      <c r="L264" s="3">
        <v>4.2</v>
      </c>
      <c r="M264" s="3">
        <v>677640.65</v>
      </c>
      <c r="N264" s="3">
        <v>111610.89</v>
      </c>
    </row>
    <row r="265" spans="1:14">
      <c r="A265" s="3" t="s">
        <v>87</v>
      </c>
      <c r="B265" s="5">
        <v>45748</v>
      </c>
      <c r="C265" s="3" t="s">
        <v>27</v>
      </c>
      <c r="D265" s="3" t="s">
        <v>18</v>
      </c>
      <c r="E265" s="3">
        <v>58688.26</v>
      </c>
      <c r="F265" s="3">
        <v>4022</v>
      </c>
      <c r="G265" s="3">
        <v>0.217</v>
      </c>
      <c r="H265" s="3">
        <v>12</v>
      </c>
      <c r="I265" s="3">
        <v>93.8</v>
      </c>
      <c r="J265" s="3">
        <v>11.78</v>
      </c>
      <c r="K265" s="3">
        <v>0</v>
      </c>
      <c r="L265" s="3">
        <v>3.7</v>
      </c>
      <c r="M265" s="3">
        <v>636613.23</v>
      </c>
      <c r="N265" s="3">
        <v>78908.350000000006</v>
      </c>
    </row>
    <row r="266" spans="1:14">
      <c r="A266" s="3" t="s">
        <v>88</v>
      </c>
      <c r="B266" s="5">
        <v>45658</v>
      </c>
      <c r="C266" s="3" t="s">
        <v>15</v>
      </c>
      <c r="D266" s="3" t="s">
        <v>18</v>
      </c>
      <c r="E266" s="3">
        <v>58981.91</v>
      </c>
      <c r="F266" s="3">
        <v>7324</v>
      </c>
      <c r="G266" s="3">
        <v>9.4E-2</v>
      </c>
      <c r="H266" s="3">
        <v>15</v>
      </c>
      <c r="I266" s="3">
        <v>95.8</v>
      </c>
      <c r="J266" s="3">
        <v>0.5</v>
      </c>
      <c r="K266" s="3">
        <v>0</v>
      </c>
      <c r="L266" s="3">
        <v>3.5</v>
      </c>
      <c r="M266" s="3">
        <v>708985.19</v>
      </c>
      <c r="N266" s="3">
        <v>125368.16</v>
      </c>
    </row>
    <row r="267" spans="1:14">
      <c r="A267" s="3" t="s">
        <v>88</v>
      </c>
      <c r="B267" s="5">
        <v>45689</v>
      </c>
      <c r="C267" s="3" t="s">
        <v>15</v>
      </c>
      <c r="D267" s="3" t="s">
        <v>18</v>
      </c>
      <c r="E267" s="3">
        <v>73454.539999999994</v>
      </c>
      <c r="F267" s="3">
        <v>8129</v>
      </c>
      <c r="G267" s="3">
        <v>0.21099999999999999</v>
      </c>
      <c r="H267" s="3">
        <v>20</v>
      </c>
      <c r="I267" s="3">
        <v>85.2</v>
      </c>
      <c r="J267" s="3">
        <v>0.88</v>
      </c>
      <c r="K267" s="3">
        <v>0</v>
      </c>
      <c r="L267" s="3">
        <v>3.7</v>
      </c>
      <c r="M267" s="3">
        <v>767792.94</v>
      </c>
      <c r="N267" s="3">
        <v>96235.77</v>
      </c>
    </row>
    <row r="268" spans="1:14">
      <c r="A268" s="3" t="s">
        <v>88</v>
      </c>
      <c r="B268" s="5">
        <v>45717</v>
      </c>
      <c r="C268" s="3" t="s">
        <v>15</v>
      </c>
      <c r="D268" s="3" t="s">
        <v>18</v>
      </c>
      <c r="E268" s="3">
        <v>56602.39</v>
      </c>
      <c r="F268" s="3">
        <v>7969</v>
      </c>
      <c r="G268" s="3">
        <v>0.17</v>
      </c>
      <c r="H268" s="3">
        <v>21</v>
      </c>
      <c r="I268" s="3">
        <v>88.3</v>
      </c>
      <c r="J268" s="3">
        <v>2.25</v>
      </c>
      <c r="K268" s="3">
        <v>0</v>
      </c>
      <c r="L268" s="3">
        <v>3.7</v>
      </c>
      <c r="M268" s="3">
        <v>745580.51</v>
      </c>
      <c r="N268" s="3">
        <v>116273.68</v>
      </c>
    </row>
    <row r="269" spans="1:14">
      <c r="A269" s="3" t="s">
        <v>88</v>
      </c>
      <c r="B269" s="5">
        <v>45748</v>
      </c>
      <c r="C269" s="3" t="s">
        <v>15</v>
      </c>
      <c r="D269" s="3" t="s">
        <v>18</v>
      </c>
      <c r="E269" s="3">
        <v>67722.289999999994</v>
      </c>
      <c r="F269" s="3">
        <v>7240</v>
      </c>
      <c r="G269" s="3">
        <v>2.5999999999999999E-2</v>
      </c>
      <c r="H269" s="3">
        <v>15</v>
      </c>
      <c r="I269" s="3">
        <v>92.9</v>
      </c>
      <c r="J269" s="3">
        <v>0.28999999999999998</v>
      </c>
      <c r="K269" s="3">
        <v>0</v>
      </c>
      <c r="L269" s="3">
        <v>3.5</v>
      </c>
      <c r="M269" s="3">
        <v>762328.31</v>
      </c>
      <c r="N269" s="3">
        <v>159158.19</v>
      </c>
    </row>
    <row r="270" spans="1:14">
      <c r="A270" s="3" t="s">
        <v>89</v>
      </c>
      <c r="B270" s="5">
        <v>45658</v>
      </c>
      <c r="C270" s="3" t="s">
        <v>15</v>
      </c>
      <c r="D270" s="3" t="s">
        <v>28</v>
      </c>
      <c r="E270" s="3">
        <v>48752.92</v>
      </c>
      <c r="F270" s="3">
        <v>8052</v>
      </c>
      <c r="G270" s="3">
        <v>0.106</v>
      </c>
      <c r="H270" s="3">
        <v>16</v>
      </c>
      <c r="I270" s="3">
        <v>94.9</v>
      </c>
      <c r="J270" s="3">
        <v>0.65</v>
      </c>
      <c r="K270" s="3">
        <v>0</v>
      </c>
      <c r="L270" s="3">
        <v>3.6</v>
      </c>
      <c r="M270" s="3">
        <v>660633.99</v>
      </c>
      <c r="N270" s="3">
        <v>118768.66</v>
      </c>
    </row>
    <row r="271" spans="1:14">
      <c r="A271" s="3" t="s">
        <v>89</v>
      </c>
      <c r="B271" s="5">
        <v>45689</v>
      </c>
      <c r="C271" s="3" t="s">
        <v>15</v>
      </c>
      <c r="D271" s="3" t="s">
        <v>28</v>
      </c>
      <c r="E271" s="3">
        <v>23914.97</v>
      </c>
      <c r="F271" s="3">
        <v>8018</v>
      </c>
      <c r="G271" s="3">
        <v>0.13900000000000001</v>
      </c>
      <c r="H271" s="3">
        <v>20</v>
      </c>
      <c r="I271" s="3">
        <v>89</v>
      </c>
      <c r="J271" s="3">
        <v>0.2</v>
      </c>
      <c r="K271" s="3">
        <v>0</v>
      </c>
      <c r="L271" s="3">
        <v>3.5</v>
      </c>
      <c r="M271" s="3">
        <v>739374.56</v>
      </c>
      <c r="N271" s="3">
        <v>121032.29</v>
      </c>
    </row>
    <row r="272" spans="1:14">
      <c r="A272" s="3" t="s">
        <v>89</v>
      </c>
      <c r="B272" s="5">
        <v>45717</v>
      </c>
      <c r="C272" s="3" t="s">
        <v>15</v>
      </c>
      <c r="D272" s="3" t="s">
        <v>28</v>
      </c>
      <c r="E272" s="3">
        <v>61995.3</v>
      </c>
      <c r="F272" s="3">
        <v>10192</v>
      </c>
      <c r="G272" s="3">
        <v>0.19800000000000001</v>
      </c>
      <c r="H272" s="3">
        <v>21</v>
      </c>
      <c r="I272" s="3">
        <v>87.6</v>
      </c>
      <c r="J272" s="3">
        <v>3.63</v>
      </c>
      <c r="K272" s="3">
        <v>1</v>
      </c>
      <c r="L272" s="3">
        <v>3.8</v>
      </c>
      <c r="M272" s="3">
        <v>799756.46</v>
      </c>
      <c r="N272" s="3">
        <v>105052.93</v>
      </c>
    </row>
    <row r="273" spans="1:14">
      <c r="A273" s="3" t="s">
        <v>89</v>
      </c>
      <c r="B273" s="5">
        <v>45748</v>
      </c>
      <c r="C273" s="3" t="s">
        <v>15</v>
      </c>
      <c r="D273" s="3" t="s">
        <v>28</v>
      </c>
      <c r="E273" s="3">
        <v>29344.93</v>
      </c>
      <c r="F273" s="3">
        <v>7446</v>
      </c>
      <c r="G273" s="3">
        <v>0.111</v>
      </c>
      <c r="H273" s="3">
        <v>15</v>
      </c>
      <c r="I273" s="3">
        <v>86.2</v>
      </c>
      <c r="J273" s="3">
        <v>0.2</v>
      </c>
      <c r="K273" s="3">
        <v>0</v>
      </c>
      <c r="L273" s="3">
        <v>3.2</v>
      </c>
      <c r="M273" s="3">
        <v>593343</v>
      </c>
      <c r="N273" s="3">
        <v>82832.240000000005</v>
      </c>
    </row>
    <row r="274" spans="1:14">
      <c r="A274" s="3" t="s">
        <v>90</v>
      </c>
      <c r="B274" s="5">
        <v>45658</v>
      </c>
      <c r="C274" s="3" t="s">
        <v>27</v>
      </c>
      <c r="D274" s="3" t="s">
        <v>18</v>
      </c>
      <c r="E274" s="3">
        <v>50532.17</v>
      </c>
      <c r="F274" s="3">
        <v>5689</v>
      </c>
      <c r="G274" s="3">
        <v>5.1999999999999998E-2</v>
      </c>
      <c r="H274" s="3">
        <v>17</v>
      </c>
      <c r="I274" s="3">
        <v>85.6</v>
      </c>
      <c r="J274" s="3">
        <v>6.23</v>
      </c>
      <c r="K274" s="3">
        <v>0</v>
      </c>
      <c r="L274" s="3">
        <v>3.3</v>
      </c>
      <c r="M274" s="3">
        <v>645039.97</v>
      </c>
      <c r="N274" s="3">
        <v>83093.33</v>
      </c>
    </row>
    <row r="275" spans="1:14">
      <c r="A275" s="3" t="s">
        <v>90</v>
      </c>
      <c r="B275" s="5">
        <v>45689</v>
      </c>
      <c r="C275" s="3" t="s">
        <v>27</v>
      </c>
      <c r="D275" s="3" t="s">
        <v>18</v>
      </c>
      <c r="E275" s="3">
        <v>17562.57</v>
      </c>
      <c r="F275" s="3">
        <v>3326</v>
      </c>
      <c r="G275" s="3">
        <v>0.153</v>
      </c>
      <c r="H275" s="3">
        <v>14</v>
      </c>
      <c r="I275" s="3">
        <v>88.1</v>
      </c>
      <c r="J275" s="3">
        <v>1.04</v>
      </c>
      <c r="K275" s="3">
        <v>0</v>
      </c>
      <c r="L275" s="3">
        <v>3.1</v>
      </c>
      <c r="M275" s="3">
        <v>561597.32999999996</v>
      </c>
      <c r="N275" s="3">
        <v>75072.75</v>
      </c>
    </row>
    <row r="276" spans="1:14">
      <c r="A276" s="3" t="s">
        <v>90</v>
      </c>
      <c r="B276" s="5">
        <v>45717</v>
      </c>
      <c r="C276" s="3" t="s">
        <v>27</v>
      </c>
      <c r="D276" s="3" t="s">
        <v>18</v>
      </c>
      <c r="E276" s="3">
        <v>47648.71</v>
      </c>
      <c r="F276" s="3">
        <v>5767</v>
      </c>
      <c r="G276" s="3">
        <v>0.14099999999999999</v>
      </c>
      <c r="H276" s="3">
        <v>17</v>
      </c>
      <c r="I276" s="3">
        <v>89.8</v>
      </c>
      <c r="J276" s="3">
        <v>1.76</v>
      </c>
      <c r="K276" s="3">
        <v>0</v>
      </c>
      <c r="L276" s="3">
        <v>3.1</v>
      </c>
      <c r="M276" s="3">
        <v>635837.74</v>
      </c>
      <c r="N276" s="3">
        <v>114740.64</v>
      </c>
    </row>
    <row r="277" spans="1:14">
      <c r="A277" s="3" t="s">
        <v>90</v>
      </c>
      <c r="B277" s="5">
        <v>45748</v>
      </c>
      <c r="C277" s="3" t="s">
        <v>27</v>
      </c>
      <c r="D277" s="3" t="s">
        <v>18</v>
      </c>
      <c r="E277" s="3">
        <v>38297.58</v>
      </c>
      <c r="F277" s="3">
        <v>5893</v>
      </c>
      <c r="G277" s="3">
        <v>0.247</v>
      </c>
      <c r="H277" s="3">
        <v>18</v>
      </c>
      <c r="I277" s="3">
        <v>77.599999999999994</v>
      </c>
      <c r="J277" s="3">
        <v>2.86</v>
      </c>
      <c r="K277" s="3">
        <v>0</v>
      </c>
      <c r="L277" s="3">
        <v>3</v>
      </c>
      <c r="M277" s="3">
        <v>686737.87</v>
      </c>
      <c r="N277" s="3">
        <v>83839.67</v>
      </c>
    </row>
    <row r="278" spans="1:14">
      <c r="A278" s="3" t="s">
        <v>91</v>
      </c>
      <c r="B278" s="5">
        <v>45658</v>
      </c>
      <c r="C278" s="3" t="s">
        <v>24</v>
      </c>
      <c r="D278" s="3" t="s">
        <v>16</v>
      </c>
      <c r="E278" s="3">
        <v>61784.11</v>
      </c>
      <c r="F278" s="3">
        <v>8564</v>
      </c>
      <c r="G278" s="3">
        <v>0.13</v>
      </c>
      <c r="H278" s="3">
        <v>17</v>
      </c>
      <c r="I278" s="3">
        <v>87.4</v>
      </c>
      <c r="J278" s="3">
        <v>18.14</v>
      </c>
      <c r="K278" s="3">
        <v>1</v>
      </c>
      <c r="L278" s="3">
        <v>3.4</v>
      </c>
      <c r="M278" s="3">
        <v>673076.34</v>
      </c>
      <c r="N278" s="3">
        <v>93899.76</v>
      </c>
    </row>
    <row r="279" spans="1:14">
      <c r="A279" s="3" t="s">
        <v>91</v>
      </c>
      <c r="B279" s="5">
        <v>45689</v>
      </c>
      <c r="C279" s="3" t="s">
        <v>24</v>
      </c>
      <c r="D279" s="3" t="s">
        <v>16</v>
      </c>
      <c r="E279" s="3">
        <v>36832.33</v>
      </c>
      <c r="F279" s="3">
        <v>8001</v>
      </c>
      <c r="G279" s="3">
        <v>0</v>
      </c>
      <c r="H279" s="3">
        <v>19</v>
      </c>
      <c r="I279" s="3">
        <v>88.7</v>
      </c>
      <c r="J279" s="3">
        <v>3.39</v>
      </c>
      <c r="K279" s="3">
        <v>0</v>
      </c>
      <c r="L279" s="3">
        <v>4</v>
      </c>
      <c r="M279" s="3">
        <v>738548.42</v>
      </c>
      <c r="N279" s="3">
        <v>134282.76999999999</v>
      </c>
    </row>
    <row r="280" spans="1:14">
      <c r="A280" s="3" t="s">
        <v>91</v>
      </c>
      <c r="B280" s="5">
        <v>45717</v>
      </c>
      <c r="C280" s="3" t="s">
        <v>24</v>
      </c>
      <c r="D280" s="3" t="s">
        <v>16</v>
      </c>
      <c r="E280" s="3">
        <v>48609.41</v>
      </c>
      <c r="F280" s="3">
        <v>9324</v>
      </c>
      <c r="G280" s="3">
        <v>0.21299999999999999</v>
      </c>
      <c r="H280" s="3">
        <v>18</v>
      </c>
      <c r="I280" s="3">
        <v>86.5</v>
      </c>
      <c r="J280" s="3">
        <v>1.44</v>
      </c>
      <c r="K280" s="3">
        <v>0</v>
      </c>
      <c r="L280" s="3">
        <v>3.9</v>
      </c>
      <c r="M280" s="3">
        <v>756619.77</v>
      </c>
      <c r="N280" s="3">
        <v>112057.69</v>
      </c>
    </row>
    <row r="281" spans="1:14">
      <c r="A281" s="3" t="s">
        <v>91</v>
      </c>
      <c r="B281" s="5">
        <v>45748</v>
      </c>
      <c r="C281" s="3" t="s">
        <v>24</v>
      </c>
      <c r="D281" s="3" t="s">
        <v>16</v>
      </c>
      <c r="E281" s="3">
        <v>70284.06</v>
      </c>
      <c r="F281" s="3">
        <v>9109</v>
      </c>
      <c r="G281" s="3">
        <v>4.0000000000000001E-3</v>
      </c>
      <c r="H281" s="3">
        <v>23</v>
      </c>
      <c r="I281" s="3">
        <v>87</v>
      </c>
      <c r="J281" s="3">
        <v>3.65</v>
      </c>
      <c r="K281" s="3">
        <v>0</v>
      </c>
      <c r="L281" s="3">
        <v>3.7</v>
      </c>
      <c r="M281" s="3">
        <v>761122.42</v>
      </c>
      <c r="N281" s="3">
        <v>149802.04</v>
      </c>
    </row>
    <row r="282" spans="1:14">
      <c r="A282" s="3" t="s">
        <v>92</v>
      </c>
      <c r="B282" s="5">
        <v>45658</v>
      </c>
      <c r="C282" s="3" t="s">
        <v>24</v>
      </c>
      <c r="D282" s="3" t="s">
        <v>18</v>
      </c>
      <c r="E282" s="3">
        <v>45940.39</v>
      </c>
      <c r="F282" s="3">
        <v>4022</v>
      </c>
      <c r="G282" s="3">
        <v>6.9000000000000006E-2</v>
      </c>
      <c r="H282" s="3">
        <v>10</v>
      </c>
      <c r="I282" s="3">
        <v>83</v>
      </c>
      <c r="J282" s="3">
        <v>1.23</v>
      </c>
      <c r="K282" s="3">
        <v>1</v>
      </c>
      <c r="L282" s="3">
        <v>3.8</v>
      </c>
      <c r="M282" s="3">
        <v>524899.56999999995</v>
      </c>
      <c r="N282" s="3">
        <v>63619.98</v>
      </c>
    </row>
    <row r="283" spans="1:14">
      <c r="A283" s="3" t="s">
        <v>92</v>
      </c>
      <c r="B283" s="5">
        <v>45689</v>
      </c>
      <c r="C283" s="3" t="s">
        <v>24</v>
      </c>
      <c r="D283" s="3" t="s">
        <v>18</v>
      </c>
      <c r="E283" s="3">
        <v>34771.26</v>
      </c>
      <c r="F283" s="3">
        <v>4355</v>
      </c>
      <c r="G283" s="3">
        <v>5.0999999999999997E-2</v>
      </c>
      <c r="H283" s="3">
        <v>15</v>
      </c>
      <c r="I283" s="3">
        <v>87.9</v>
      </c>
      <c r="J283" s="3">
        <v>3.09</v>
      </c>
      <c r="K283" s="3">
        <v>0</v>
      </c>
      <c r="L283" s="3">
        <v>4</v>
      </c>
      <c r="M283" s="3">
        <v>555557.77</v>
      </c>
      <c r="N283" s="3">
        <v>86475.51</v>
      </c>
    </row>
    <row r="284" spans="1:14">
      <c r="A284" s="3" t="s">
        <v>92</v>
      </c>
      <c r="B284" s="5">
        <v>45717</v>
      </c>
      <c r="C284" s="3" t="s">
        <v>24</v>
      </c>
      <c r="D284" s="3" t="s">
        <v>18</v>
      </c>
      <c r="E284" s="3">
        <v>66104.19</v>
      </c>
      <c r="F284" s="3">
        <v>5745</v>
      </c>
      <c r="G284" s="3">
        <v>7.0000000000000007E-2</v>
      </c>
      <c r="H284" s="3">
        <v>17</v>
      </c>
      <c r="I284" s="3">
        <v>95.8</v>
      </c>
      <c r="J284" s="3">
        <v>3.15</v>
      </c>
      <c r="K284" s="3">
        <v>0</v>
      </c>
      <c r="L284" s="3">
        <v>4</v>
      </c>
      <c r="M284" s="3">
        <v>714083.68</v>
      </c>
      <c r="N284" s="3">
        <v>127231.74</v>
      </c>
    </row>
    <row r="285" spans="1:14">
      <c r="A285" s="3" t="s">
        <v>92</v>
      </c>
      <c r="B285" s="5">
        <v>45748</v>
      </c>
      <c r="C285" s="3" t="s">
        <v>24</v>
      </c>
      <c r="D285" s="3" t="s">
        <v>18</v>
      </c>
      <c r="E285" s="3">
        <v>18599.21</v>
      </c>
      <c r="F285" s="3">
        <v>3027</v>
      </c>
      <c r="G285" s="3">
        <v>0.122</v>
      </c>
      <c r="H285" s="3">
        <v>11</v>
      </c>
      <c r="I285" s="3">
        <v>80.900000000000006</v>
      </c>
      <c r="J285" s="3">
        <v>6.44</v>
      </c>
      <c r="K285" s="3">
        <v>0</v>
      </c>
      <c r="L285" s="3">
        <v>4.2</v>
      </c>
      <c r="M285" s="3">
        <v>497439.82</v>
      </c>
      <c r="N285" s="3">
        <v>93372.75</v>
      </c>
    </row>
    <row r="286" spans="1:14">
      <c r="A286" s="3" t="s">
        <v>93</v>
      </c>
      <c r="B286" s="5">
        <v>45658</v>
      </c>
      <c r="C286" s="3" t="s">
        <v>27</v>
      </c>
      <c r="D286" s="3" t="s">
        <v>16</v>
      </c>
      <c r="E286" s="3">
        <v>60183.06</v>
      </c>
      <c r="F286" s="3">
        <v>5562</v>
      </c>
      <c r="G286" s="3">
        <v>8.9999999999999993E-3</v>
      </c>
      <c r="H286" s="3">
        <v>13</v>
      </c>
      <c r="I286" s="3">
        <v>86.3</v>
      </c>
      <c r="J286" s="3">
        <v>0.2</v>
      </c>
      <c r="K286" s="3">
        <v>1</v>
      </c>
      <c r="L286" s="3">
        <v>4.5</v>
      </c>
      <c r="M286" s="3">
        <v>636775.66</v>
      </c>
      <c r="N286" s="3">
        <v>122636.86</v>
      </c>
    </row>
    <row r="287" spans="1:14">
      <c r="A287" s="3" t="s">
        <v>93</v>
      </c>
      <c r="B287" s="5">
        <v>45689</v>
      </c>
      <c r="C287" s="3" t="s">
        <v>27</v>
      </c>
      <c r="D287" s="3" t="s">
        <v>16</v>
      </c>
      <c r="E287" s="3">
        <v>74539.14</v>
      </c>
      <c r="F287" s="3">
        <v>4487</v>
      </c>
      <c r="G287" s="3">
        <v>0.14000000000000001</v>
      </c>
      <c r="H287" s="3">
        <v>10</v>
      </c>
      <c r="I287" s="3">
        <v>90.4</v>
      </c>
      <c r="J287" s="3">
        <v>0.59</v>
      </c>
      <c r="K287" s="3">
        <v>0</v>
      </c>
      <c r="L287" s="3">
        <v>4.5</v>
      </c>
      <c r="M287" s="3">
        <v>633009.53</v>
      </c>
      <c r="N287" s="3">
        <v>123782.67</v>
      </c>
    </row>
    <row r="288" spans="1:14">
      <c r="A288" s="3" t="s">
        <v>93</v>
      </c>
      <c r="B288" s="5">
        <v>45717</v>
      </c>
      <c r="C288" s="3" t="s">
        <v>27</v>
      </c>
      <c r="D288" s="3" t="s">
        <v>16</v>
      </c>
      <c r="E288" s="3">
        <v>55371.97</v>
      </c>
      <c r="F288" s="3">
        <v>4162</v>
      </c>
      <c r="G288" s="3">
        <v>0.183</v>
      </c>
      <c r="H288" s="3">
        <v>11</v>
      </c>
      <c r="I288" s="3">
        <v>92</v>
      </c>
      <c r="J288" s="3">
        <v>0.2</v>
      </c>
      <c r="K288" s="3">
        <v>1</v>
      </c>
      <c r="L288" s="3">
        <v>4.2</v>
      </c>
      <c r="M288" s="3">
        <v>609949</v>
      </c>
      <c r="N288" s="3">
        <v>126789.25</v>
      </c>
    </row>
    <row r="289" spans="1:14">
      <c r="A289" s="3" t="s">
        <v>93</v>
      </c>
      <c r="B289" s="5">
        <v>45748</v>
      </c>
      <c r="C289" s="3" t="s">
        <v>27</v>
      </c>
      <c r="D289" s="3" t="s">
        <v>16</v>
      </c>
      <c r="E289" s="3">
        <v>40928.69</v>
      </c>
      <c r="F289" s="3">
        <v>4094</v>
      </c>
      <c r="G289" s="3">
        <v>0.17399999999999999</v>
      </c>
      <c r="H289" s="3">
        <v>13</v>
      </c>
      <c r="I289" s="3">
        <v>82.4</v>
      </c>
      <c r="J289" s="3">
        <v>1.36</v>
      </c>
      <c r="K289" s="3">
        <v>0</v>
      </c>
      <c r="L289" s="3">
        <v>4.8</v>
      </c>
      <c r="M289" s="3">
        <v>548103.69999999995</v>
      </c>
      <c r="N289" s="3">
        <v>99905.52</v>
      </c>
    </row>
    <row r="290" spans="1:14">
      <c r="A290" s="3" t="s">
        <v>94</v>
      </c>
      <c r="B290" s="5">
        <v>45658</v>
      </c>
      <c r="C290" s="3" t="s">
        <v>15</v>
      </c>
      <c r="D290" s="3" t="s">
        <v>16</v>
      </c>
      <c r="E290" s="3">
        <v>70012.41</v>
      </c>
      <c r="F290" s="3">
        <v>8484</v>
      </c>
      <c r="G290" s="3">
        <v>0.27300000000000002</v>
      </c>
      <c r="H290" s="3">
        <v>23</v>
      </c>
      <c r="I290" s="3">
        <v>72.900000000000006</v>
      </c>
      <c r="J290" s="3">
        <v>3.34</v>
      </c>
      <c r="K290" s="3">
        <v>0</v>
      </c>
      <c r="L290" s="3">
        <v>3.7</v>
      </c>
      <c r="M290" s="3">
        <v>729424.42</v>
      </c>
      <c r="N290" s="3">
        <v>75592.28</v>
      </c>
    </row>
    <row r="291" spans="1:14">
      <c r="A291" s="3" t="s">
        <v>94</v>
      </c>
      <c r="B291" s="5">
        <v>45689</v>
      </c>
      <c r="C291" s="3" t="s">
        <v>15</v>
      </c>
      <c r="D291" s="3" t="s">
        <v>16</v>
      </c>
      <c r="E291" s="3">
        <v>68909.259999999995</v>
      </c>
      <c r="F291" s="3">
        <v>7794</v>
      </c>
      <c r="G291" s="3">
        <v>0.28399999999999997</v>
      </c>
      <c r="H291" s="3">
        <v>22</v>
      </c>
      <c r="I291" s="3">
        <v>89</v>
      </c>
      <c r="J291" s="3">
        <v>0.33</v>
      </c>
      <c r="K291" s="3">
        <v>0</v>
      </c>
      <c r="L291" s="3">
        <v>4</v>
      </c>
      <c r="M291" s="3">
        <v>696261.49</v>
      </c>
      <c r="N291" s="3">
        <v>72455.350000000006</v>
      </c>
    </row>
    <row r="292" spans="1:14">
      <c r="A292" s="3" t="s">
        <v>94</v>
      </c>
      <c r="B292" s="5">
        <v>45717</v>
      </c>
      <c r="C292" s="3" t="s">
        <v>15</v>
      </c>
      <c r="D292" s="3" t="s">
        <v>16</v>
      </c>
      <c r="E292" s="3">
        <v>56737.3</v>
      </c>
      <c r="F292" s="3">
        <v>8300</v>
      </c>
      <c r="G292" s="3">
        <v>3.2000000000000001E-2</v>
      </c>
      <c r="H292" s="3">
        <v>21</v>
      </c>
      <c r="I292" s="3">
        <v>83.2</v>
      </c>
      <c r="J292" s="3">
        <v>3.44</v>
      </c>
      <c r="K292" s="3">
        <v>1</v>
      </c>
      <c r="L292" s="3">
        <v>4.3</v>
      </c>
      <c r="M292" s="3">
        <v>813316.71</v>
      </c>
      <c r="N292" s="3">
        <v>110077.42</v>
      </c>
    </row>
    <row r="293" spans="1:14">
      <c r="A293" s="3" t="s">
        <v>94</v>
      </c>
      <c r="B293" s="5">
        <v>45748</v>
      </c>
      <c r="C293" s="3" t="s">
        <v>15</v>
      </c>
      <c r="D293" s="3" t="s">
        <v>16</v>
      </c>
      <c r="E293" s="3">
        <v>54080.91</v>
      </c>
      <c r="F293" s="3">
        <v>7083</v>
      </c>
      <c r="G293" s="3">
        <v>0</v>
      </c>
      <c r="H293" s="3">
        <v>15</v>
      </c>
      <c r="I293" s="3">
        <v>97</v>
      </c>
      <c r="J293" s="3">
        <v>5.33</v>
      </c>
      <c r="K293" s="3">
        <v>0</v>
      </c>
      <c r="L293" s="3">
        <v>4.0999999999999996</v>
      </c>
      <c r="M293" s="3">
        <v>702068.92</v>
      </c>
      <c r="N293" s="3">
        <v>111266.63</v>
      </c>
    </row>
    <row r="294" spans="1:14">
      <c r="A294" s="3" t="s">
        <v>95</v>
      </c>
      <c r="B294" s="5">
        <v>45658</v>
      </c>
      <c r="C294" s="3" t="s">
        <v>27</v>
      </c>
      <c r="D294" s="3" t="s">
        <v>18</v>
      </c>
      <c r="E294" s="3">
        <v>51996.32</v>
      </c>
      <c r="F294" s="3">
        <v>3834</v>
      </c>
      <c r="G294" s="3">
        <v>9.6000000000000002E-2</v>
      </c>
      <c r="H294" s="3">
        <v>8</v>
      </c>
      <c r="I294" s="3">
        <v>86.7</v>
      </c>
      <c r="J294" s="3">
        <v>6.04</v>
      </c>
      <c r="K294" s="3">
        <v>0</v>
      </c>
      <c r="L294" s="3">
        <v>4.5</v>
      </c>
      <c r="M294" s="3">
        <v>546223.69999999995</v>
      </c>
      <c r="N294" s="3">
        <v>100769.17</v>
      </c>
    </row>
    <row r="295" spans="1:14">
      <c r="A295" s="3" t="s">
        <v>95</v>
      </c>
      <c r="B295" s="5">
        <v>45689</v>
      </c>
      <c r="C295" s="3" t="s">
        <v>27</v>
      </c>
      <c r="D295" s="3" t="s">
        <v>18</v>
      </c>
      <c r="E295" s="3">
        <v>40102.879999999997</v>
      </c>
      <c r="F295" s="3">
        <v>2358</v>
      </c>
      <c r="G295" s="3">
        <v>0.11899999999999999</v>
      </c>
      <c r="H295" s="3">
        <v>9</v>
      </c>
      <c r="I295" s="3">
        <v>88.7</v>
      </c>
      <c r="J295" s="3">
        <v>1.6</v>
      </c>
      <c r="K295" s="3">
        <v>0</v>
      </c>
      <c r="L295" s="3">
        <v>4.2</v>
      </c>
      <c r="M295" s="3">
        <v>533121.26</v>
      </c>
      <c r="N295" s="3">
        <v>55063.39</v>
      </c>
    </row>
    <row r="296" spans="1:14">
      <c r="A296" s="3" t="s">
        <v>95</v>
      </c>
      <c r="B296" s="5">
        <v>45717</v>
      </c>
      <c r="C296" s="3" t="s">
        <v>27</v>
      </c>
      <c r="D296" s="3" t="s">
        <v>18</v>
      </c>
      <c r="E296" s="3">
        <v>59825.51</v>
      </c>
      <c r="F296" s="3">
        <v>1231</v>
      </c>
      <c r="G296" s="3">
        <v>0.214</v>
      </c>
      <c r="H296" s="3">
        <v>10</v>
      </c>
      <c r="I296" s="3">
        <v>84.8</v>
      </c>
      <c r="J296" s="3">
        <v>8.9600000000000009</v>
      </c>
      <c r="K296" s="3">
        <v>0</v>
      </c>
      <c r="L296" s="3">
        <v>4.7</v>
      </c>
      <c r="M296" s="3">
        <v>498970.32</v>
      </c>
      <c r="N296" s="3">
        <v>69656.7</v>
      </c>
    </row>
    <row r="297" spans="1:14">
      <c r="A297" s="3" t="s">
        <v>95</v>
      </c>
      <c r="B297" s="5">
        <v>45748</v>
      </c>
      <c r="C297" s="3" t="s">
        <v>27</v>
      </c>
      <c r="D297" s="3" t="s">
        <v>18</v>
      </c>
      <c r="E297" s="3">
        <v>27398.28</v>
      </c>
      <c r="F297" s="3">
        <v>1723</v>
      </c>
      <c r="G297" s="3">
        <v>0.17100000000000001</v>
      </c>
      <c r="H297" s="3">
        <v>9</v>
      </c>
      <c r="I297" s="3">
        <v>81</v>
      </c>
      <c r="J297" s="3">
        <v>0.74</v>
      </c>
      <c r="K297" s="3">
        <v>0</v>
      </c>
      <c r="L297" s="3">
        <v>4.5999999999999996</v>
      </c>
      <c r="M297" s="3">
        <v>487738.26</v>
      </c>
      <c r="N297" s="3">
        <v>96435.6</v>
      </c>
    </row>
    <row r="298" spans="1:14">
      <c r="A298" s="3" t="s">
        <v>96</v>
      </c>
      <c r="B298" s="5">
        <v>45658</v>
      </c>
      <c r="C298" s="3" t="s">
        <v>27</v>
      </c>
      <c r="D298" s="3" t="s">
        <v>18</v>
      </c>
      <c r="E298" s="3">
        <v>55599.56</v>
      </c>
      <c r="F298" s="3">
        <v>5896</v>
      </c>
      <c r="G298" s="3">
        <v>3.5999999999999997E-2</v>
      </c>
      <c r="H298" s="3">
        <v>12</v>
      </c>
      <c r="I298" s="3">
        <v>93.1</v>
      </c>
      <c r="J298" s="3">
        <v>6.13</v>
      </c>
      <c r="K298" s="3">
        <v>0</v>
      </c>
      <c r="L298" s="3">
        <v>3.3</v>
      </c>
      <c r="M298" s="3">
        <v>668459.37</v>
      </c>
      <c r="N298" s="3">
        <v>126435.42</v>
      </c>
    </row>
    <row r="299" spans="1:14">
      <c r="A299" s="3" t="s">
        <v>96</v>
      </c>
      <c r="B299" s="5">
        <v>45689</v>
      </c>
      <c r="C299" s="3" t="s">
        <v>27</v>
      </c>
      <c r="D299" s="3" t="s">
        <v>18</v>
      </c>
      <c r="E299" s="3">
        <v>55477.61</v>
      </c>
      <c r="F299" s="3">
        <v>5903</v>
      </c>
      <c r="G299" s="3">
        <v>0.10199999999999999</v>
      </c>
      <c r="H299" s="3">
        <v>14</v>
      </c>
      <c r="I299" s="3">
        <v>96.2</v>
      </c>
      <c r="J299" s="3">
        <v>1.41</v>
      </c>
      <c r="K299" s="3">
        <v>0</v>
      </c>
      <c r="L299" s="3">
        <v>3.3</v>
      </c>
      <c r="M299" s="3">
        <v>763162.45</v>
      </c>
      <c r="N299" s="3">
        <v>162524.04999999999</v>
      </c>
    </row>
    <row r="300" spans="1:14">
      <c r="A300" s="3" t="s">
        <v>96</v>
      </c>
      <c r="B300" s="5">
        <v>45717</v>
      </c>
      <c r="C300" s="3" t="s">
        <v>27</v>
      </c>
      <c r="D300" s="3" t="s">
        <v>18</v>
      </c>
      <c r="E300" s="3">
        <v>46174.7</v>
      </c>
      <c r="F300" s="3">
        <v>4898</v>
      </c>
      <c r="G300" s="3">
        <v>0.114</v>
      </c>
      <c r="H300" s="3">
        <v>11</v>
      </c>
      <c r="I300" s="3">
        <v>91.7</v>
      </c>
      <c r="J300" s="3">
        <v>3.75</v>
      </c>
      <c r="K300" s="3">
        <v>0</v>
      </c>
      <c r="L300" s="3">
        <v>3.1</v>
      </c>
      <c r="M300" s="3">
        <v>599017.32999999996</v>
      </c>
      <c r="N300" s="3">
        <v>134009.92000000001</v>
      </c>
    </row>
    <row r="301" spans="1:14">
      <c r="A301" s="3" t="s">
        <v>96</v>
      </c>
      <c r="B301" s="5">
        <v>45748</v>
      </c>
      <c r="C301" s="3" t="s">
        <v>27</v>
      </c>
      <c r="D301" s="3" t="s">
        <v>18</v>
      </c>
      <c r="E301" s="3">
        <v>24362.98</v>
      </c>
      <c r="F301" s="3">
        <v>1462</v>
      </c>
      <c r="G301" s="3">
        <v>0.11700000000000001</v>
      </c>
      <c r="H301" s="3">
        <v>6</v>
      </c>
      <c r="I301" s="3">
        <v>89.3</v>
      </c>
      <c r="J301" s="3">
        <v>15.06</v>
      </c>
      <c r="K301" s="3">
        <v>0</v>
      </c>
      <c r="L301" s="3">
        <v>3.2</v>
      </c>
      <c r="M301" s="3">
        <v>401582.58</v>
      </c>
      <c r="N301" s="3">
        <v>68454.929999999993</v>
      </c>
    </row>
    <row r="302" spans="1:14">
      <c r="A302" s="3" t="s">
        <v>97</v>
      </c>
      <c r="B302" s="5">
        <v>45658</v>
      </c>
      <c r="C302" s="3" t="s">
        <v>20</v>
      </c>
      <c r="D302" s="3" t="s">
        <v>28</v>
      </c>
      <c r="E302" s="3">
        <v>40647.67</v>
      </c>
      <c r="F302" s="3">
        <v>8252</v>
      </c>
      <c r="G302" s="3">
        <v>0.14099999999999999</v>
      </c>
      <c r="H302" s="3">
        <v>22</v>
      </c>
      <c r="I302" s="3">
        <v>88.2</v>
      </c>
      <c r="J302" s="3">
        <v>5.07</v>
      </c>
      <c r="K302" s="3">
        <v>1</v>
      </c>
      <c r="L302" s="3">
        <v>4.0999999999999996</v>
      </c>
      <c r="M302" s="3">
        <v>703812.99</v>
      </c>
      <c r="N302" s="3">
        <v>133577.98000000001</v>
      </c>
    </row>
    <row r="303" spans="1:14">
      <c r="A303" s="3" t="s">
        <v>97</v>
      </c>
      <c r="B303" s="5">
        <v>45689</v>
      </c>
      <c r="C303" s="3" t="s">
        <v>20</v>
      </c>
      <c r="D303" s="3" t="s">
        <v>28</v>
      </c>
      <c r="E303" s="3">
        <v>63986.98</v>
      </c>
      <c r="F303" s="3">
        <v>7989</v>
      </c>
      <c r="G303" s="3">
        <v>7.3999999999999996E-2</v>
      </c>
      <c r="H303" s="3">
        <v>20</v>
      </c>
      <c r="I303" s="3">
        <v>83.3</v>
      </c>
      <c r="J303" s="3">
        <v>3.6</v>
      </c>
      <c r="K303" s="3">
        <v>0</v>
      </c>
      <c r="L303" s="3">
        <v>3.7</v>
      </c>
      <c r="M303" s="3">
        <v>724346.73</v>
      </c>
      <c r="N303" s="3">
        <v>155013.91</v>
      </c>
    </row>
    <row r="304" spans="1:14">
      <c r="A304" s="3" t="s">
        <v>97</v>
      </c>
      <c r="B304" s="5">
        <v>45717</v>
      </c>
      <c r="C304" s="3" t="s">
        <v>20</v>
      </c>
      <c r="D304" s="3" t="s">
        <v>28</v>
      </c>
      <c r="E304" s="3">
        <v>52843.75</v>
      </c>
      <c r="F304" s="3">
        <v>8268</v>
      </c>
      <c r="G304" s="3">
        <v>0.13800000000000001</v>
      </c>
      <c r="H304" s="3">
        <v>19</v>
      </c>
      <c r="I304" s="3">
        <v>87.3</v>
      </c>
      <c r="J304" s="3">
        <v>4.3899999999999997</v>
      </c>
      <c r="K304" s="3">
        <v>1</v>
      </c>
      <c r="L304" s="3">
        <v>4.7</v>
      </c>
      <c r="M304" s="3">
        <v>730890.01</v>
      </c>
      <c r="N304" s="3">
        <v>105502.56</v>
      </c>
    </row>
    <row r="305" spans="1:14">
      <c r="A305" s="3" t="s">
        <v>97</v>
      </c>
      <c r="B305" s="5">
        <v>45748</v>
      </c>
      <c r="C305" s="3" t="s">
        <v>20</v>
      </c>
      <c r="D305" s="3" t="s">
        <v>28</v>
      </c>
      <c r="E305" s="3">
        <v>31997.25</v>
      </c>
      <c r="F305" s="3">
        <v>8183</v>
      </c>
      <c r="G305" s="3">
        <v>0.19800000000000001</v>
      </c>
      <c r="H305" s="3">
        <v>18</v>
      </c>
      <c r="I305" s="3">
        <v>93</v>
      </c>
      <c r="J305" s="3">
        <v>2.79</v>
      </c>
      <c r="K305" s="3">
        <v>0</v>
      </c>
      <c r="L305" s="3">
        <v>4.2</v>
      </c>
      <c r="M305" s="3">
        <v>780580.95</v>
      </c>
      <c r="N305" s="3">
        <v>138144.46</v>
      </c>
    </row>
    <row r="306" spans="1:14">
      <c r="A306" s="3" t="s">
        <v>98</v>
      </c>
      <c r="B306" s="5">
        <v>45658</v>
      </c>
      <c r="C306" s="3" t="s">
        <v>24</v>
      </c>
      <c r="D306" s="3" t="s">
        <v>16</v>
      </c>
      <c r="E306" s="3">
        <v>54948.02</v>
      </c>
      <c r="F306" s="3">
        <v>6534</v>
      </c>
      <c r="G306" s="3">
        <v>0.183</v>
      </c>
      <c r="H306" s="3">
        <v>14</v>
      </c>
      <c r="I306" s="3">
        <v>94.5</v>
      </c>
      <c r="J306" s="3">
        <v>1.56</v>
      </c>
      <c r="K306" s="3">
        <v>0</v>
      </c>
      <c r="L306" s="3">
        <v>4</v>
      </c>
      <c r="M306" s="3">
        <v>727957.48</v>
      </c>
      <c r="N306" s="3">
        <v>74805.23</v>
      </c>
    </row>
    <row r="307" spans="1:14">
      <c r="A307" s="3" t="s">
        <v>98</v>
      </c>
      <c r="B307" s="5">
        <v>45689</v>
      </c>
      <c r="C307" s="3" t="s">
        <v>24</v>
      </c>
      <c r="D307" s="3" t="s">
        <v>16</v>
      </c>
      <c r="E307" s="3">
        <v>46146.239999999998</v>
      </c>
      <c r="F307" s="3">
        <v>5804</v>
      </c>
      <c r="G307" s="3">
        <v>4.7E-2</v>
      </c>
      <c r="H307" s="3">
        <v>16</v>
      </c>
      <c r="I307" s="3">
        <v>86.9</v>
      </c>
      <c r="J307" s="3">
        <v>15.82</v>
      </c>
      <c r="K307" s="3">
        <v>0</v>
      </c>
      <c r="L307" s="3">
        <v>3.8</v>
      </c>
      <c r="M307" s="3">
        <v>538376</v>
      </c>
      <c r="N307" s="3">
        <v>87605.62</v>
      </c>
    </row>
    <row r="308" spans="1:14">
      <c r="A308" s="3" t="s">
        <v>98</v>
      </c>
      <c r="B308" s="5">
        <v>45717</v>
      </c>
      <c r="C308" s="3" t="s">
        <v>24</v>
      </c>
      <c r="D308" s="3" t="s">
        <v>16</v>
      </c>
      <c r="E308" s="3">
        <v>22387.26</v>
      </c>
      <c r="F308" s="3">
        <v>6301</v>
      </c>
      <c r="G308" s="3">
        <v>0.14599999999999999</v>
      </c>
      <c r="H308" s="3">
        <v>14</v>
      </c>
      <c r="I308" s="3">
        <v>85.9</v>
      </c>
      <c r="J308" s="3">
        <v>1.17</v>
      </c>
      <c r="K308" s="3">
        <v>1</v>
      </c>
      <c r="L308" s="3">
        <v>3.7</v>
      </c>
      <c r="M308" s="3">
        <v>665342.49</v>
      </c>
      <c r="N308" s="3">
        <v>93441.81</v>
      </c>
    </row>
    <row r="309" spans="1:14">
      <c r="A309" s="3" t="s">
        <v>98</v>
      </c>
      <c r="B309" s="5">
        <v>45748</v>
      </c>
      <c r="C309" s="3" t="s">
        <v>24</v>
      </c>
      <c r="D309" s="3" t="s">
        <v>16</v>
      </c>
      <c r="E309" s="3">
        <v>60684.05</v>
      </c>
      <c r="F309" s="3">
        <v>6399</v>
      </c>
      <c r="G309" s="3">
        <v>7.4999999999999997E-2</v>
      </c>
      <c r="H309" s="3">
        <v>16</v>
      </c>
      <c r="I309" s="3">
        <v>99</v>
      </c>
      <c r="J309" s="3">
        <v>3.82</v>
      </c>
      <c r="K309" s="3">
        <v>0</v>
      </c>
      <c r="L309" s="3">
        <v>3.5</v>
      </c>
      <c r="M309" s="3">
        <v>651164.18000000005</v>
      </c>
      <c r="N309" s="3">
        <v>109466.5</v>
      </c>
    </row>
    <row r="310" spans="1:14">
      <c r="A310" s="3" t="s">
        <v>99</v>
      </c>
      <c r="B310" s="5">
        <v>45658</v>
      </c>
      <c r="C310" s="3" t="s">
        <v>24</v>
      </c>
      <c r="D310" s="3" t="s">
        <v>18</v>
      </c>
      <c r="E310" s="3">
        <v>48465.599999999999</v>
      </c>
      <c r="F310" s="3">
        <v>5759</v>
      </c>
      <c r="G310" s="3">
        <v>0.154</v>
      </c>
      <c r="H310" s="3">
        <v>13</v>
      </c>
      <c r="I310" s="3">
        <v>87.5</v>
      </c>
      <c r="J310" s="3">
        <v>4.1399999999999997</v>
      </c>
      <c r="K310" s="3">
        <v>0</v>
      </c>
      <c r="L310" s="3">
        <v>4</v>
      </c>
      <c r="M310" s="3">
        <v>628538.30000000005</v>
      </c>
      <c r="N310" s="3">
        <v>112509.15</v>
      </c>
    </row>
    <row r="311" spans="1:14">
      <c r="A311" s="3" t="s">
        <v>99</v>
      </c>
      <c r="B311" s="5">
        <v>45689</v>
      </c>
      <c r="C311" s="3" t="s">
        <v>24</v>
      </c>
      <c r="D311" s="3" t="s">
        <v>18</v>
      </c>
      <c r="E311" s="3">
        <v>23702.38</v>
      </c>
      <c r="F311" s="3">
        <v>5285</v>
      </c>
      <c r="G311" s="3">
        <v>0.16700000000000001</v>
      </c>
      <c r="H311" s="3">
        <v>14</v>
      </c>
      <c r="I311" s="3">
        <v>79.7</v>
      </c>
      <c r="J311" s="3">
        <v>1.1000000000000001</v>
      </c>
      <c r="K311" s="3">
        <v>0</v>
      </c>
      <c r="L311" s="3">
        <v>4.3</v>
      </c>
      <c r="M311" s="3">
        <v>536524.84</v>
      </c>
      <c r="N311" s="3">
        <v>92752.94</v>
      </c>
    </row>
    <row r="312" spans="1:14">
      <c r="A312" s="3" t="s">
        <v>99</v>
      </c>
      <c r="B312" s="5">
        <v>45717</v>
      </c>
      <c r="C312" s="3" t="s">
        <v>24</v>
      </c>
      <c r="D312" s="3" t="s">
        <v>18</v>
      </c>
      <c r="E312" s="3">
        <v>54322.94</v>
      </c>
      <c r="F312" s="3">
        <v>5434</v>
      </c>
      <c r="G312" s="3">
        <v>0.2</v>
      </c>
      <c r="H312" s="3">
        <v>13</v>
      </c>
      <c r="I312" s="3">
        <v>85.7</v>
      </c>
      <c r="J312" s="3">
        <v>10.6</v>
      </c>
      <c r="K312" s="3">
        <v>0</v>
      </c>
      <c r="L312" s="3">
        <v>4.2</v>
      </c>
      <c r="M312" s="3">
        <v>621677.30000000005</v>
      </c>
      <c r="N312" s="3">
        <v>105192.52</v>
      </c>
    </row>
    <row r="313" spans="1:14">
      <c r="A313" s="3" t="s">
        <v>99</v>
      </c>
      <c r="B313" s="5">
        <v>45748</v>
      </c>
      <c r="C313" s="3" t="s">
        <v>24</v>
      </c>
      <c r="D313" s="3" t="s">
        <v>18</v>
      </c>
      <c r="E313" s="3">
        <v>86026.58</v>
      </c>
      <c r="F313" s="3">
        <v>7479</v>
      </c>
      <c r="G313" s="3">
        <v>0.14199999999999999</v>
      </c>
      <c r="H313" s="3">
        <v>20</v>
      </c>
      <c r="I313" s="3">
        <v>89</v>
      </c>
      <c r="J313" s="3">
        <v>0.9</v>
      </c>
      <c r="K313" s="3">
        <v>0</v>
      </c>
      <c r="L313" s="3"/>
      <c r="M313" s="3">
        <v>771129.07</v>
      </c>
      <c r="N313" s="3">
        <v>116851.13</v>
      </c>
    </row>
    <row r="314" spans="1:14">
      <c r="A314" s="3" t="s">
        <v>100</v>
      </c>
      <c r="B314" s="5">
        <v>45658</v>
      </c>
      <c r="C314" s="3" t="s">
        <v>20</v>
      </c>
      <c r="D314" s="3" t="s">
        <v>16</v>
      </c>
      <c r="E314" s="3">
        <v>78967.520000000004</v>
      </c>
      <c r="F314" s="3">
        <v>6164</v>
      </c>
      <c r="G314" s="3">
        <v>2.1000000000000001E-2</v>
      </c>
      <c r="H314" s="3">
        <v>16</v>
      </c>
      <c r="I314" s="3">
        <v>85.5</v>
      </c>
      <c r="J314" s="3">
        <v>0.2</v>
      </c>
      <c r="K314" s="3">
        <v>0</v>
      </c>
      <c r="L314" s="3">
        <v>3.4</v>
      </c>
      <c r="M314" s="3">
        <v>702052.47</v>
      </c>
      <c r="N314" s="3">
        <v>121732.51</v>
      </c>
    </row>
    <row r="315" spans="1:14">
      <c r="A315" s="3" t="s">
        <v>100</v>
      </c>
      <c r="B315" s="5">
        <v>45689</v>
      </c>
      <c r="C315" s="3" t="s">
        <v>20</v>
      </c>
      <c r="D315" s="3" t="s">
        <v>16</v>
      </c>
      <c r="E315" s="3">
        <v>46767.99</v>
      </c>
      <c r="F315" s="3">
        <v>7973</v>
      </c>
      <c r="G315" s="3">
        <v>0.183</v>
      </c>
      <c r="H315" s="3">
        <v>18</v>
      </c>
      <c r="I315" s="3">
        <v>94.8</v>
      </c>
      <c r="J315" s="3">
        <v>4.67</v>
      </c>
      <c r="K315" s="3">
        <v>0</v>
      </c>
      <c r="L315" s="3"/>
      <c r="M315" s="3">
        <v>688368.46</v>
      </c>
      <c r="N315" s="3">
        <v>93588.42</v>
      </c>
    </row>
    <row r="316" spans="1:14">
      <c r="A316" s="3" t="s">
        <v>100</v>
      </c>
      <c r="B316" s="5">
        <v>45717</v>
      </c>
      <c r="C316" s="3" t="s">
        <v>20</v>
      </c>
      <c r="D316" s="3" t="s">
        <v>16</v>
      </c>
      <c r="E316" s="3">
        <v>62507.16</v>
      </c>
      <c r="F316" s="3">
        <v>6000</v>
      </c>
      <c r="G316" s="3">
        <v>9.0999999999999998E-2</v>
      </c>
      <c r="H316" s="3">
        <v>14</v>
      </c>
      <c r="I316" s="3">
        <v>98.2</v>
      </c>
      <c r="J316" s="3">
        <v>4.38</v>
      </c>
      <c r="K316" s="3">
        <v>1</v>
      </c>
      <c r="L316" s="3">
        <v>3.9</v>
      </c>
      <c r="M316" s="3">
        <v>712375.77</v>
      </c>
      <c r="N316" s="3">
        <v>104171.53</v>
      </c>
    </row>
    <row r="317" spans="1:14">
      <c r="A317" s="3" t="s">
        <v>100</v>
      </c>
      <c r="B317" s="5">
        <v>45748</v>
      </c>
      <c r="C317" s="3" t="s">
        <v>20</v>
      </c>
      <c r="D317" s="3" t="s">
        <v>16</v>
      </c>
      <c r="E317" s="3">
        <v>66456.28</v>
      </c>
      <c r="F317" s="3">
        <v>9967</v>
      </c>
      <c r="G317" s="3">
        <v>0.108</v>
      </c>
      <c r="H317" s="3">
        <v>20</v>
      </c>
      <c r="I317" s="3">
        <v>94.7</v>
      </c>
      <c r="J317" s="3">
        <v>4.4800000000000004</v>
      </c>
      <c r="K317" s="3">
        <v>0</v>
      </c>
      <c r="L317" s="3">
        <v>4.2</v>
      </c>
      <c r="M317" s="3">
        <v>844710.67</v>
      </c>
      <c r="N317" s="3">
        <v>137140.18</v>
      </c>
    </row>
    <row r="318" spans="1:14">
      <c r="A318" s="3" t="s">
        <v>101</v>
      </c>
      <c r="B318" s="5">
        <v>45658</v>
      </c>
      <c r="C318" s="3" t="s">
        <v>15</v>
      </c>
      <c r="D318" s="3" t="s">
        <v>16</v>
      </c>
      <c r="E318" s="3">
        <v>76614.320000000007</v>
      </c>
      <c r="F318" s="3">
        <v>5639</v>
      </c>
      <c r="G318" s="3">
        <v>0.17399999999999999</v>
      </c>
      <c r="H318" s="3">
        <v>15</v>
      </c>
      <c r="I318" s="3">
        <v>92.9</v>
      </c>
      <c r="J318" s="3">
        <v>1.02</v>
      </c>
      <c r="K318" s="3">
        <v>1</v>
      </c>
      <c r="L318" s="3">
        <v>4</v>
      </c>
      <c r="M318" s="3">
        <v>620264.19999999995</v>
      </c>
      <c r="N318" s="3">
        <v>91365.64</v>
      </c>
    </row>
    <row r="319" spans="1:14">
      <c r="A319" s="3" t="s">
        <v>101</v>
      </c>
      <c r="B319" s="5">
        <v>45689</v>
      </c>
      <c r="C319" s="3" t="s">
        <v>15</v>
      </c>
      <c r="D319" s="3" t="s">
        <v>16</v>
      </c>
      <c r="E319" s="3">
        <v>24088.06</v>
      </c>
      <c r="F319" s="3">
        <v>3466</v>
      </c>
      <c r="G319" s="3">
        <v>0</v>
      </c>
      <c r="H319" s="3">
        <v>11</v>
      </c>
      <c r="I319" s="3">
        <v>88</v>
      </c>
      <c r="J319" s="3">
        <v>0.2</v>
      </c>
      <c r="K319" s="3">
        <v>0</v>
      </c>
      <c r="L319" s="3">
        <v>3.8</v>
      </c>
      <c r="M319" s="3">
        <v>536845.42000000004</v>
      </c>
      <c r="N319" s="3">
        <v>107473.75</v>
      </c>
    </row>
    <row r="320" spans="1:14">
      <c r="A320" s="3" t="s">
        <v>101</v>
      </c>
      <c r="B320" s="5">
        <v>45717</v>
      </c>
      <c r="C320" s="3" t="s">
        <v>15</v>
      </c>
      <c r="D320" s="3" t="s">
        <v>16</v>
      </c>
      <c r="E320" s="3">
        <v>81902.58</v>
      </c>
      <c r="F320" s="3">
        <v>7775</v>
      </c>
      <c r="G320" s="3">
        <v>0.215</v>
      </c>
      <c r="H320" s="3">
        <v>20</v>
      </c>
      <c r="I320" s="3">
        <v>85.2</v>
      </c>
      <c r="J320" s="3">
        <v>4.8899999999999997</v>
      </c>
      <c r="K320" s="3">
        <v>1</v>
      </c>
      <c r="L320" s="3">
        <v>4.2</v>
      </c>
      <c r="M320" s="3">
        <v>726776.22</v>
      </c>
      <c r="N320" s="3">
        <v>90804.49</v>
      </c>
    </row>
    <row r="321" spans="1:14">
      <c r="A321" s="3" t="s">
        <v>101</v>
      </c>
      <c r="B321" s="5">
        <v>45748</v>
      </c>
      <c r="C321" s="3" t="s">
        <v>15</v>
      </c>
      <c r="D321" s="3" t="s">
        <v>16</v>
      </c>
      <c r="E321" s="3">
        <v>40553.11</v>
      </c>
      <c r="F321" s="3">
        <v>5317</v>
      </c>
      <c r="G321" s="3">
        <v>0.16500000000000001</v>
      </c>
      <c r="H321" s="3">
        <v>17</v>
      </c>
      <c r="I321" s="3">
        <v>84.3</v>
      </c>
      <c r="J321" s="3">
        <v>11.82</v>
      </c>
      <c r="K321" s="3">
        <v>0</v>
      </c>
      <c r="L321" s="3">
        <v>4.0999999999999996</v>
      </c>
      <c r="M321" s="3">
        <v>559660.84</v>
      </c>
      <c r="N321" s="3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944BB-C759-443D-AE3F-256E48BC1EC0}">
  <dimension ref="A1:O321"/>
  <sheetViews>
    <sheetView topLeftCell="D1" workbookViewId="0">
      <selection activeCell="E17" sqref="E17"/>
    </sheetView>
  </sheetViews>
  <sheetFormatPr defaultRowHeight="14.25"/>
  <cols>
    <col min="1" max="1" width="11.5" customWidth="1"/>
    <col min="2" max="2" width="11.75" customWidth="1"/>
    <col min="3" max="3" width="8.875" customWidth="1"/>
    <col min="4" max="4" width="13.875" customWidth="1"/>
    <col min="5" max="5" width="12.75" customWidth="1"/>
    <col min="6" max="6" width="13.75" customWidth="1"/>
    <col min="7" max="7" width="13.625" style="8" customWidth="1"/>
    <col min="8" max="8" width="13.125" customWidth="1"/>
    <col min="9" max="9" width="17.25" customWidth="1"/>
    <col min="10" max="10" width="12.625" customWidth="1"/>
    <col min="11" max="11" width="11.375" customWidth="1"/>
    <col min="12" max="12" width="12.5" customWidth="1"/>
    <col min="13" max="13" width="10.625" customWidth="1"/>
    <col min="14" max="14" width="12.25" customWidth="1"/>
    <col min="15" max="15" width="13.625" customWidth="1"/>
  </cols>
  <sheetData>
    <row r="1" spans="1:15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103</v>
      </c>
    </row>
    <row r="2" spans="1:15">
      <c r="A2" s="3" t="s">
        <v>26</v>
      </c>
      <c r="B2" s="5">
        <v>45689</v>
      </c>
      <c r="C2" s="3" t="s">
        <v>27</v>
      </c>
      <c r="D2" s="3" t="s">
        <v>28</v>
      </c>
      <c r="E2" s="3">
        <v>172415.52</v>
      </c>
      <c r="F2" s="3">
        <v>8927</v>
      </c>
      <c r="G2" s="7">
        <v>0.14000000000000001</v>
      </c>
      <c r="H2" s="3">
        <v>22</v>
      </c>
      <c r="I2" s="3">
        <v>86.2</v>
      </c>
      <c r="J2" s="3">
        <v>7.04</v>
      </c>
      <c r="K2" s="3">
        <v>0</v>
      </c>
      <c r="L2" s="3">
        <v>3.9</v>
      </c>
      <c r="M2" s="3">
        <v>800451.94</v>
      </c>
      <c r="N2" s="3">
        <v>111572.29</v>
      </c>
      <c r="O2">
        <f>IF(C2="East",1,0)</f>
        <v>0</v>
      </c>
    </row>
    <row r="3" spans="1:15">
      <c r="A3" s="3" t="s">
        <v>44</v>
      </c>
      <c r="B3" s="5">
        <v>45689</v>
      </c>
      <c r="C3" s="3" t="s">
        <v>24</v>
      </c>
      <c r="D3" s="3" t="s">
        <v>28</v>
      </c>
      <c r="E3" s="3">
        <v>141540.29</v>
      </c>
      <c r="F3" s="3">
        <v>5400</v>
      </c>
      <c r="G3" s="7">
        <v>1.2999999999999999E-2</v>
      </c>
      <c r="H3" s="3">
        <v>12</v>
      </c>
      <c r="I3" s="3">
        <v>87</v>
      </c>
      <c r="J3" s="3">
        <v>4.26</v>
      </c>
      <c r="K3" s="3">
        <v>0</v>
      </c>
      <c r="L3" s="3">
        <v>4.5</v>
      </c>
      <c r="M3" s="3">
        <v>627171.9</v>
      </c>
      <c r="N3" s="3">
        <v>105772.75</v>
      </c>
      <c r="O3">
        <f t="shared" ref="O3:O66" si="0">IF(C3="East",1,0)</f>
        <v>0</v>
      </c>
    </row>
    <row r="4" spans="1:15">
      <c r="A4" s="3" t="s">
        <v>33</v>
      </c>
      <c r="B4" s="5">
        <v>45658</v>
      </c>
      <c r="C4" s="3" t="s">
        <v>27</v>
      </c>
      <c r="D4" s="3" t="s">
        <v>16</v>
      </c>
      <c r="E4" s="3">
        <v>138855.51</v>
      </c>
      <c r="F4" s="3">
        <v>5145</v>
      </c>
      <c r="G4" s="7">
        <v>0.06</v>
      </c>
      <c r="H4" s="3">
        <v>17</v>
      </c>
      <c r="I4" s="3">
        <v>88.2</v>
      </c>
      <c r="J4" s="3">
        <v>9.58</v>
      </c>
      <c r="K4" s="3">
        <v>0</v>
      </c>
      <c r="L4" s="3">
        <v>3.2</v>
      </c>
      <c r="M4" s="3">
        <v>595467.6</v>
      </c>
      <c r="N4" s="3">
        <v>104276.46</v>
      </c>
      <c r="O4">
        <f t="shared" si="0"/>
        <v>0</v>
      </c>
    </row>
    <row r="5" spans="1:15">
      <c r="A5" s="3" t="s">
        <v>36</v>
      </c>
      <c r="B5" s="5">
        <v>45717</v>
      </c>
      <c r="C5" s="3" t="s">
        <v>15</v>
      </c>
      <c r="D5" s="3" t="s">
        <v>21</v>
      </c>
      <c r="E5" s="3">
        <v>118910.48</v>
      </c>
      <c r="F5" s="3">
        <v>4022</v>
      </c>
      <c r="G5" s="7">
        <v>0.13700000000000001</v>
      </c>
      <c r="H5" s="3">
        <v>11</v>
      </c>
      <c r="I5" s="3">
        <v>87.1</v>
      </c>
      <c r="J5" s="3">
        <v>0.2</v>
      </c>
      <c r="K5" s="3">
        <v>0</v>
      </c>
      <c r="L5" s="3">
        <v>3.1</v>
      </c>
      <c r="M5" s="3">
        <v>617291.15</v>
      </c>
      <c r="N5" s="3">
        <v>117782</v>
      </c>
      <c r="O5">
        <f t="shared" si="0"/>
        <v>1</v>
      </c>
    </row>
    <row r="6" spans="1:15">
      <c r="A6" s="3" t="s">
        <v>79</v>
      </c>
      <c r="B6" s="5">
        <v>45689</v>
      </c>
      <c r="C6" s="3" t="s">
        <v>15</v>
      </c>
      <c r="D6" s="3" t="s">
        <v>18</v>
      </c>
      <c r="E6" s="3">
        <v>113736</v>
      </c>
      <c r="F6" s="3">
        <v>8961</v>
      </c>
      <c r="G6" s="7">
        <v>0.20200000000000001</v>
      </c>
      <c r="H6" s="3">
        <v>24</v>
      </c>
      <c r="I6" s="3">
        <v>86.2</v>
      </c>
      <c r="J6" s="3">
        <v>21.63</v>
      </c>
      <c r="K6" s="3">
        <v>0</v>
      </c>
      <c r="L6" s="3">
        <v>4</v>
      </c>
      <c r="M6" s="3">
        <v>870937.4</v>
      </c>
      <c r="N6" s="3">
        <v>175282.74</v>
      </c>
      <c r="O6">
        <f t="shared" si="0"/>
        <v>1</v>
      </c>
    </row>
    <row r="7" spans="1:15">
      <c r="A7" s="3" t="s">
        <v>74</v>
      </c>
      <c r="B7" s="5">
        <v>45717</v>
      </c>
      <c r="C7" s="3" t="s">
        <v>15</v>
      </c>
      <c r="D7" s="3" t="s">
        <v>18</v>
      </c>
      <c r="E7" s="3">
        <v>107970.19</v>
      </c>
      <c r="F7" s="3">
        <v>12870</v>
      </c>
      <c r="G7" s="7">
        <v>2.9000000000000001E-2</v>
      </c>
      <c r="H7" s="3">
        <v>31</v>
      </c>
      <c r="I7" s="3">
        <v>91.7</v>
      </c>
      <c r="J7" s="3">
        <v>3.82</v>
      </c>
      <c r="K7" s="3">
        <v>1</v>
      </c>
      <c r="L7" s="3">
        <v>3.7</v>
      </c>
      <c r="M7" s="3">
        <v>946833.54</v>
      </c>
      <c r="N7" s="3">
        <v>184540.31</v>
      </c>
      <c r="O7">
        <f t="shared" si="0"/>
        <v>1</v>
      </c>
    </row>
    <row r="8" spans="1:15">
      <c r="A8" s="3" t="s">
        <v>35</v>
      </c>
      <c r="B8" s="5">
        <v>45689</v>
      </c>
      <c r="C8" s="3" t="s">
        <v>27</v>
      </c>
      <c r="D8" s="3" t="s">
        <v>18</v>
      </c>
      <c r="E8" s="3">
        <v>99874.01</v>
      </c>
      <c r="F8" s="3">
        <v>5887</v>
      </c>
      <c r="G8" s="7">
        <v>0.26200000000000001</v>
      </c>
      <c r="H8" s="3">
        <v>14</v>
      </c>
      <c r="I8" s="3">
        <v>88.7</v>
      </c>
      <c r="J8" s="3">
        <v>6.18</v>
      </c>
      <c r="K8" s="3">
        <v>0</v>
      </c>
      <c r="L8" s="3">
        <v>4.7</v>
      </c>
      <c r="M8" s="3">
        <v>746677.75</v>
      </c>
      <c r="N8" s="3">
        <v>122437.84</v>
      </c>
      <c r="O8">
        <f t="shared" si="0"/>
        <v>0</v>
      </c>
    </row>
    <row r="9" spans="1:15">
      <c r="A9" s="3" t="s">
        <v>84</v>
      </c>
      <c r="B9" s="5">
        <v>45748</v>
      </c>
      <c r="C9" s="3" t="s">
        <v>20</v>
      </c>
      <c r="D9" s="3" t="s">
        <v>18</v>
      </c>
      <c r="E9" s="3">
        <v>97480.94</v>
      </c>
      <c r="F9" s="3">
        <v>6840</v>
      </c>
      <c r="G9" s="7">
        <v>8.6999999999999994E-2</v>
      </c>
      <c r="H9" s="3">
        <v>14</v>
      </c>
      <c r="I9" s="3">
        <v>79.2</v>
      </c>
      <c r="J9" s="3">
        <v>1.1399999999999999</v>
      </c>
      <c r="K9" s="3">
        <v>0</v>
      </c>
      <c r="L9" s="3">
        <v>4</v>
      </c>
      <c r="M9" s="3">
        <v>729440.45</v>
      </c>
      <c r="N9" s="3">
        <v>87614.29</v>
      </c>
      <c r="O9">
        <f t="shared" si="0"/>
        <v>0</v>
      </c>
    </row>
    <row r="10" spans="1:15">
      <c r="A10" s="3" t="s">
        <v>31</v>
      </c>
      <c r="B10" s="5">
        <v>45717</v>
      </c>
      <c r="C10" s="3" t="s">
        <v>20</v>
      </c>
      <c r="D10" s="3" t="s">
        <v>28</v>
      </c>
      <c r="E10" s="3">
        <v>93381.26</v>
      </c>
      <c r="F10" s="3">
        <v>7562</v>
      </c>
      <c r="G10" s="7">
        <v>0.19800000000000001</v>
      </c>
      <c r="H10" s="3">
        <v>19</v>
      </c>
      <c r="I10" s="3">
        <v>82.9</v>
      </c>
      <c r="J10" s="3">
        <v>5.05</v>
      </c>
      <c r="K10" s="3">
        <v>0</v>
      </c>
      <c r="L10" s="3">
        <v>4</v>
      </c>
      <c r="M10" s="3">
        <v>736633.4</v>
      </c>
      <c r="N10" s="3">
        <v>115654.66</v>
      </c>
      <c r="O10">
        <f t="shared" si="0"/>
        <v>0</v>
      </c>
    </row>
    <row r="11" spans="1:15">
      <c r="A11" s="3" t="s">
        <v>73</v>
      </c>
      <c r="B11" s="5">
        <v>45658</v>
      </c>
      <c r="C11" s="3" t="s">
        <v>15</v>
      </c>
      <c r="D11" s="3" t="s">
        <v>28</v>
      </c>
      <c r="E11" s="3">
        <v>92090.14</v>
      </c>
      <c r="F11" s="3">
        <v>9476</v>
      </c>
      <c r="G11" s="7">
        <v>7.0000000000000007E-2</v>
      </c>
      <c r="H11" s="3">
        <v>24</v>
      </c>
      <c r="I11" s="3">
        <v>94.3</v>
      </c>
      <c r="J11" s="3">
        <v>0.87</v>
      </c>
      <c r="K11" s="3">
        <v>0</v>
      </c>
      <c r="L11" s="3">
        <v>3.7</v>
      </c>
      <c r="M11" s="3">
        <v>825060.52</v>
      </c>
      <c r="N11" s="3">
        <v>143613.15</v>
      </c>
      <c r="O11">
        <f t="shared" si="0"/>
        <v>1</v>
      </c>
    </row>
    <row r="12" spans="1:15">
      <c r="A12" s="3" t="s">
        <v>47</v>
      </c>
      <c r="B12" s="5">
        <v>45717</v>
      </c>
      <c r="C12" s="3" t="s">
        <v>15</v>
      </c>
      <c r="D12" s="3" t="s">
        <v>28</v>
      </c>
      <c r="E12" s="3">
        <v>90084.4</v>
      </c>
      <c r="F12" s="3">
        <v>6832</v>
      </c>
      <c r="G12" s="7">
        <v>0.185</v>
      </c>
      <c r="H12" s="3">
        <v>14</v>
      </c>
      <c r="I12" s="3">
        <v>80.5</v>
      </c>
      <c r="J12" s="3">
        <v>0.77</v>
      </c>
      <c r="K12" s="3">
        <v>1</v>
      </c>
      <c r="L12" s="3">
        <v>4.4000000000000004</v>
      </c>
      <c r="M12" s="3">
        <v>740102.64</v>
      </c>
      <c r="N12" s="3">
        <v>114299.07</v>
      </c>
      <c r="O12">
        <f t="shared" si="0"/>
        <v>1</v>
      </c>
    </row>
    <row r="13" spans="1:15">
      <c r="A13" s="3" t="s">
        <v>43</v>
      </c>
      <c r="B13" s="5">
        <v>45689</v>
      </c>
      <c r="C13" s="3" t="s">
        <v>27</v>
      </c>
      <c r="D13" s="3" t="s">
        <v>18</v>
      </c>
      <c r="E13" s="3">
        <v>88443.77</v>
      </c>
      <c r="F13" s="3">
        <v>4004</v>
      </c>
      <c r="G13" s="7">
        <v>0.20599999999999999</v>
      </c>
      <c r="H13" s="3">
        <v>11</v>
      </c>
      <c r="I13" s="3">
        <v>91.9</v>
      </c>
      <c r="J13" s="3">
        <v>5.95</v>
      </c>
      <c r="K13" s="3">
        <v>0</v>
      </c>
      <c r="L13" s="3">
        <v>3.92</v>
      </c>
      <c r="M13" s="3">
        <v>611766.72</v>
      </c>
      <c r="N13" s="3">
        <v>88275.61</v>
      </c>
      <c r="O13">
        <f t="shared" si="0"/>
        <v>0</v>
      </c>
    </row>
    <row r="14" spans="1:15">
      <c r="A14" s="3" t="s">
        <v>61</v>
      </c>
      <c r="B14" s="5">
        <v>45658</v>
      </c>
      <c r="C14" s="3" t="s">
        <v>20</v>
      </c>
      <c r="D14" s="3" t="s">
        <v>28</v>
      </c>
      <c r="E14" s="3">
        <v>86883.31</v>
      </c>
      <c r="F14" s="3">
        <v>6424</v>
      </c>
      <c r="G14" s="7">
        <v>5.7000000000000002E-2</v>
      </c>
      <c r="H14" s="3">
        <v>19</v>
      </c>
      <c r="I14" s="3">
        <v>85.2</v>
      </c>
      <c r="J14" s="3">
        <v>3.08</v>
      </c>
      <c r="K14" s="3">
        <v>0</v>
      </c>
      <c r="L14" s="3">
        <v>3.9</v>
      </c>
      <c r="M14" s="3">
        <v>700078.32</v>
      </c>
      <c r="N14" s="3">
        <v>123707.58</v>
      </c>
      <c r="O14">
        <f t="shared" si="0"/>
        <v>0</v>
      </c>
    </row>
    <row r="15" spans="1:15">
      <c r="A15" s="3" t="s">
        <v>45</v>
      </c>
      <c r="B15" s="5">
        <v>45717</v>
      </c>
      <c r="C15" s="3" t="s">
        <v>27</v>
      </c>
      <c r="D15" s="3" t="s">
        <v>16</v>
      </c>
      <c r="E15" s="3">
        <v>86421.88</v>
      </c>
      <c r="F15" s="3">
        <v>7970</v>
      </c>
      <c r="G15" s="7">
        <v>7.2999999999999995E-2</v>
      </c>
      <c r="H15" s="3">
        <v>17</v>
      </c>
      <c r="I15" s="3">
        <v>91.3</v>
      </c>
      <c r="J15" s="3">
        <v>0.8</v>
      </c>
      <c r="K15" s="3">
        <v>0</v>
      </c>
      <c r="L15" s="3">
        <v>5</v>
      </c>
      <c r="M15" s="3">
        <v>838250.32</v>
      </c>
      <c r="N15" s="3">
        <v>122939.34</v>
      </c>
      <c r="O15">
        <f t="shared" si="0"/>
        <v>0</v>
      </c>
    </row>
    <row r="16" spans="1:15">
      <c r="A16" s="3" t="s">
        <v>99</v>
      </c>
      <c r="B16" s="5">
        <v>45748</v>
      </c>
      <c r="C16" s="3" t="s">
        <v>24</v>
      </c>
      <c r="D16" s="3" t="s">
        <v>18</v>
      </c>
      <c r="E16" s="3">
        <v>86026.58</v>
      </c>
      <c r="F16" s="3">
        <v>7479</v>
      </c>
      <c r="G16" s="7">
        <v>0.14199999999999999</v>
      </c>
      <c r="H16" s="3">
        <v>20</v>
      </c>
      <c r="I16" s="3">
        <v>89</v>
      </c>
      <c r="J16" s="3">
        <v>0.9</v>
      </c>
      <c r="K16" s="3">
        <v>0</v>
      </c>
      <c r="L16" s="3">
        <v>3.92</v>
      </c>
      <c r="M16" s="3">
        <v>771129.07</v>
      </c>
      <c r="N16" s="3">
        <v>116851.13</v>
      </c>
      <c r="O16">
        <f t="shared" si="0"/>
        <v>0</v>
      </c>
    </row>
    <row r="17" spans="1:15">
      <c r="A17" s="3" t="s">
        <v>52</v>
      </c>
      <c r="B17" s="5">
        <v>45689</v>
      </c>
      <c r="C17" s="3" t="s">
        <v>20</v>
      </c>
      <c r="D17" s="3" t="s">
        <v>18</v>
      </c>
      <c r="E17" s="3">
        <v>83044.17</v>
      </c>
      <c r="F17" s="3">
        <v>3694</v>
      </c>
      <c r="G17" s="7">
        <v>0</v>
      </c>
      <c r="H17" s="3">
        <v>14</v>
      </c>
      <c r="I17" s="3">
        <v>89.4</v>
      </c>
      <c r="J17" s="3">
        <v>2.2000000000000002</v>
      </c>
      <c r="K17" s="3">
        <v>0</v>
      </c>
      <c r="L17" s="3">
        <v>3.7</v>
      </c>
      <c r="M17" s="3">
        <v>654317.09</v>
      </c>
      <c r="N17" s="3">
        <v>121446.89</v>
      </c>
      <c r="O17">
        <f t="shared" si="0"/>
        <v>0</v>
      </c>
    </row>
    <row r="18" spans="1:15">
      <c r="A18" s="3" t="s">
        <v>44</v>
      </c>
      <c r="B18" s="5">
        <v>45717</v>
      </c>
      <c r="C18" s="3" t="s">
        <v>24</v>
      </c>
      <c r="D18" s="3" t="s">
        <v>28</v>
      </c>
      <c r="E18" s="3">
        <v>82116.19</v>
      </c>
      <c r="F18" s="3">
        <v>5988</v>
      </c>
      <c r="G18" s="7">
        <v>0.04</v>
      </c>
      <c r="H18" s="3">
        <v>17</v>
      </c>
      <c r="I18" s="3">
        <v>91.8</v>
      </c>
      <c r="J18" s="3">
        <v>5.75</v>
      </c>
      <c r="K18" s="3">
        <v>0</v>
      </c>
      <c r="L18" s="3">
        <v>4.7</v>
      </c>
      <c r="M18" s="3">
        <v>739852.58</v>
      </c>
      <c r="N18" s="3">
        <v>129386.43</v>
      </c>
      <c r="O18">
        <f t="shared" si="0"/>
        <v>0</v>
      </c>
    </row>
    <row r="19" spans="1:15">
      <c r="A19" s="3" t="s">
        <v>101</v>
      </c>
      <c r="B19" s="5">
        <v>45717</v>
      </c>
      <c r="C19" s="3" t="s">
        <v>15</v>
      </c>
      <c r="D19" s="3" t="s">
        <v>16</v>
      </c>
      <c r="E19" s="3">
        <v>81902.58</v>
      </c>
      <c r="F19" s="3">
        <v>7775</v>
      </c>
      <c r="G19" s="7">
        <v>0.215</v>
      </c>
      <c r="H19" s="3">
        <v>20</v>
      </c>
      <c r="I19" s="3">
        <v>85.2</v>
      </c>
      <c r="J19" s="3">
        <v>4.8899999999999997</v>
      </c>
      <c r="K19" s="3">
        <v>1</v>
      </c>
      <c r="L19" s="3">
        <v>4.2</v>
      </c>
      <c r="M19" s="3">
        <v>726776.22</v>
      </c>
      <c r="N19" s="3">
        <v>90804.49</v>
      </c>
      <c r="O19">
        <f t="shared" si="0"/>
        <v>1</v>
      </c>
    </row>
    <row r="20" spans="1:15">
      <c r="A20" s="3" t="s">
        <v>85</v>
      </c>
      <c r="B20" s="5">
        <v>45658</v>
      </c>
      <c r="C20" s="3" t="s">
        <v>24</v>
      </c>
      <c r="D20" s="3" t="s">
        <v>21</v>
      </c>
      <c r="E20" s="3">
        <v>81801.8</v>
      </c>
      <c r="F20" s="3">
        <v>6782</v>
      </c>
      <c r="G20" s="7">
        <v>0.05</v>
      </c>
      <c r="H20" s="3">
        <v>16</v>
      </c>
      <c r="I20" s="3">
        <v>99</v>
      </c>
      <c r="J20" s="3">
        <v>9.5399999999999991</v>
      </c>
      <c r="K20" s="3">
        <v>0</v>
      </c>
      <c r="L20" s="3">
        <v>3.7</v>
      </c>
      <c r="M20" s="3">
        <v>764949</v>
      </c>
      <c r="N20" s="3">
        <v>148322.43</v>
      </c>
      <c r="O20">
        <f t="shared" si="0"/>
        <v>0</v>
      </c>
    </row>
    <row r="21" spans="1:15">
      <c r="A21" s="3" t="s">
        <v>70</v>
      </c>
      <c r="B21" s="5">
        <v>45658</v>
      </c>
      <c r="C21" s="3" t="s">
        <v>27</v>
      </c>
      <c r="D21" s="3" t="s">
        <v>16</v>
      </c>
      <c r="E21" s="3">
        <v>81796.740000000005</v>
      </c>
      <c r="F21" s="3">
        <v>6177</v>
      </c>
      <c r="G21" s="7">
        <v>0.16400000000000001</v>
      </c>
      <c r="H21" s="3">
        <v>14</v>
      </c>
      <c r="I21" s="3">
        <v>87.9</v>
      </c>
      <c r="J21" s="3">
        <v>0.53</v>
      </c>
      <c r="K21" s="3">
        <v>0</v>
      </c>
      <c r="L21" s="3">
        <v>3.2</v>
      </c>
      <c r="M21" s="3">
        <v>643428.85</v>
      </c>
      <c r="N21" s="3">
        <v>94477.63</v>
      </c>
      <c r="O21">
        <f t="shared" si="0"/>
        <v>0</v>
      </c>
    </row>
    <row r="22" spans="1:15">
      <c r="A22" s="3" t="s">
        <v>35</v>
      </c>
      <c r="B22" s="5">
        <v>45717</v>
      </c>
      <c r="C22" s="3" t="s">
        <v>27</v>
      </c>
      <c r="D22" s="3" t="s">
        <v>18</v>
      </c>
      <c r="E22" s="3">
        <v>81195.5</v>
      </c>
      <c r="F22" s="3">
        <v>5516</v>
      </c>
      <c r="G22" s="7">
        <v>0.106</v>
      </c>
      <c r="H22" s="3">
        <v>14</v>
      </c>
      <c r="I22" s="3">
        <v>88</v>
      </c>
      <c r="J22" s="3">
        <v>1.76</v>
      </c>
      <c r="K22" s="3">
        <v>0</v>
      </c>
      <c r="L22" s="3">
        <v>4.3</v>
      </c>
      <c r="M22" s="3">
        <v>720852.5</v>
      </c>
      <c r="N22" s="3">
        <v>98565.62</v>
      </c>
      <c r="O22">
        <f t="shared" si="0"/>
        <v>0</v>
      </c>
    </row>
    <row r="23" spans="1:15">
      <c r="A23" s="3" t="s">
        <v>41</v>
      </c>
      <c r="B23" s="5">
        <v>45717</v>
      </c>
      <c r="C23" s="3" t="s">
        <v>24</v>
      </c>
      <c r="D23" s="3" t="s">
        <v>18</v>
      </c>
      <c r="E23" s="3">
        <v>80562.81</v>
      </c>
      <c r="F23" s="3">
        <v>7470</v>
      </c>
      <c r="G23" s="7">
        <v>0.17199999999999999</v>
      </c>
      <c r="H23" s="3">
        <v>16</v>
      </c>
      <c r="I23" s="3">
        <v>83.5</v>
      </c>
      <c r="J23" s="3">
        <v>2.29</v>
      </c>
      <c r="K23" s="3">
        <v>0</v>
      </c>
      <c r="L23" s="3">
        <v>3.3</v>
      </c>
      <c r="M23" s="3">
        <v>776922.17</v>
      </c>
      <c r="N23" s="3">
        <v>150701.93</v>
      </c>
      <c r="O23">
        <f t="shared" si="0"/>
        <v>0</v>
      </c>
    </row>
    <row r="24" spans="1:15">
      <c r="A24" s="3" t="s">
        <v>50</v>
      </c>
      <c r="B24" s="5">
        <v>45689</v>
      </c>
      <c r="C24" s="3" t="s">
        <v>27</v>
      </c>
      <c r="D24" s="3" t="s">
        <v>28</v>
      </c>
      <c r="E24" s="3">
        <v>80176.34</v>
      </c>
      <c r="F24" s="3">
        <v>9489</v>
      </c>
      <c r="G24" s="7">
        <v>0.14199999999999999</v>
      </c>
      <c r="H24" s="3">
        <v>22</v>
      </c>
      <c r="I24" s="3">
        <v>94.3</v>
      </c>
      <c r="J24" s="3">
        <v>2.67</v>
      </c>
      <c r="K24" s="3">
        <v>0</v>
      </c>
      <c r="L24" s="3">
        <v>3.5</v>
      </c>
      <c r="M24" s="3">
        <v>873380.02</v>
      </c>
      <c r="N24" s="3">
        <v>149734.76</v>
      </c>
      <c r="O24">
        <f t="shared" si="0"/>
        <v>0</v>
      </c>
    </row>
    <row r="25" spans="1:15">
      <c r="A25" s="3" t="s">
        <v>38</v>
      </c>
      <c r="B25" s="5">
        <v>45717</v>
      </c>
      <c r="C25" s="3" t="s">
        <v>27</v>
      </c>
      <c r="D25" s="3" t="s">
        <v>18</v>
      </c>
      <c r="E25" s="3">
        <v>79346.100000000006</v>
      </c>
      <c r="F25" s="3">
        <v>9628</v>
      </c>
      <c r="G25" s="7">
        <v>0.10199999999999999</v>
      </c>
      <c r="H25" s="3">
        <v>20</v>
      </c>
      <c r="I25" s="3">
        <v>99</v>
      </c>
      <c r="J25" s="3">
        <v>19.010000000000002</v>
      </c>
      <c r="K25" s="3">
        <v>1</v>
      </c>
      <c r="L25" s="3">
        <v>3.2</v>
      </c>
      <c r="M25" s="3">
        <v>685379.08</v>
      </c>
      <c r="N25" s="3">
        <v>106898.82</v>
      </c>
      <c r="O25">
        <f t="shared" si="0"/>
        <v>0</v>
      </c>
    </row>
    <row r="26" spans="1:15">
      <c r="A26" s="3" t="s">
        <v>100</v>
      </c>
      <c r="B26" s="5">
        <v>45658</v>
      </c>
      <c r="C26" s="3" t="s">
        <v>20</v>
      </c>
      <c r="D26" s="3" t="s">
        <v>16</v>
      </c>
      <c r="E26" s="3">
        <v>78967.520000000004</v>
      </c>
      <c r="F26" s="3">
        <v>6164</v>
      </c>
      <c r="G26" s="7">
        <v>2.1000000000000001E-2</v>
      </c>
      <c r="H26" s="3">
        <v>16</v>
      </c>
      <c r="I26" s="3">
        <v>85.5</v>
      </c>
      <c r="J26" s="3">
        <v>0.2</v>
      </c>
      <c r="K26" s="3">
        <v>0</v>
      </c>
      <c r="L26" s="3">
        <v>3.4</v>
      </c>
      <c r="M26" s="3">
        <v>702052.47</v>
      </c>
      <c r="N26" s="3">
        <v>121732.51</v>
      </c>
      <c r="O26">
        <f t="shared" si="0"/>
        <v>0</v>
      </c>
    </row>
    <row r="27" spans="1:15">
      <c r="A27" s="3" t="s">
        <v>46</v>
      </c>
      <c r="B27" s="5">
        <v>45689</v>
      </c>
      <c r="C27" s="3" t="s">
        <v>27</v>
      </c>
      <c r="D27" s="3" t="s">
        <v>28</v>
      </c>
      <c r="E27" s="3">
        <v>78839.39</v>
      </c>
      <c r="F27" s="3">
        <v>5150</v>
      </c>
      <c r="G27" s="7">
        <v>0.17100000000000001</v>
      </c>
      <c r="H27" s="3">
        <v>13</v>
      </c>
      <c r="I27" s="3">
        <v>85.8</v>
      </c>
      <c r="J27" s="3">
        <v>7.57</v>
      </c>
      <c r="K27" s="3">
        <v>0</v>
      </c>
      <c r="L27" s="3">
        <v>4.3</v>
      </c>
      <c r="M27" s="3">
        <v>735509.4</v>
      </c>
      <c r="N27" s="3">
        <v>83895.96</v>
      </c>
      <c r="O27">
        <f t="shared" si="0"/>
        <v>0</v>
      </c>
    </row>
    <row r="28" spans="1:15">
      <c r="A28" s="3" t="s">
        <v>23</v>
      </c>
      <c r="B28" s="5">
        <v>45717</v>
      </c>
      <c r="C28" s="3" t="s">
        <v>24</v>
      </c>
      <c r="D28" s="3" t="s">
        <v>16</v>
      </c>
      <c r="E28" s="3">
        <v>78831.12</v>
      </c>
      <c r="F28" s="3">
        <v>5538</v>
      </c>
      <c r="G28" s="7">
        <v>0</v>
      </c>
      <c r="H28" s="3">
        <v>15</v>
      </c>
      <c r="I28" s="3">
        <v>94.1</v>
      </c>
      <c r="J28" s="3">
        <v>0.2</v>
      </c>
      <c r="K28" s="3">
        <v>0</v>
      </c>
      <c r="L28" s="3">
        <v>3.9</v>
      </c>
      <c r="M28" s="3">
        <v>666573.19999999995</v>
      </c>
      <c r="N28" s="3">
        <v>140641.01999999999</v>
      </c>
      <c r="O28">
        <f t="shared" si="0"/>
        <v>0</v>
      </c>
    </row>
    <row r="29" spans="1:15">
      <c r="A29" s="3" t="s">
        <v>63</v>
      </c>
      <c r="B29" s="5">
        <v>45748</v>
      </c>
      <c r="C29" s="3" t="s">
        <v>20</v>
      </c>
      <c r="D29" s="3" t="s">
        <v>28</v>
      </c>
      <c r="E29" s="3">
        <v>78432.14</v>
      </c>
      <c r="F29" s="3">
        <v>9440</v>
      </c>
      <c r="G29" s="7">
        <v>0.126</v>
      </c>
      <c r="H29" s="3">
        <v>23</v>
      </c>
      <c r="I29" s="3">
        <v>89.2</v>
      </c>
      <c r="J29" s="3">
        <v>7.86</v>
      </c>
      <c r="K29" s="3">
        <v>0</v>
      </c>
      <c r="L29" s="3">
        <v>4.0999999999999996</v>
      </c>
      <c r="M29" s="3">
        <v>820729.29</v>
      </c>
      <c r="N29" s="3">
        <v>159325.47</v>
      </c>
      <c r="O29">
        <f t="shared" si="0"/>
        <v>0</v>
      </c>
    </row>
    <row r="30" spans="1:15">
      <c r="A30" s="3" t="s">
        <v>43</v>
      </c>
      <c r="B30" s="5">
        <v>45717</v>
      </c>
      <c r="C30" s="3" t="s">
        <v>27</v>
      </c>
      <c r="D30" s="3" t="s">
        <v>18</v>
      </c>
      <c r="E30" s="3">
        <v>78231.91</v>
      </c>
      <c r="F30" s="3">
        <v>3788</v>
      </c>
      <c r="G30" s="7">
        <v>5.8999999999999997E-2</v>
      </c>
      <c r="H30" s="3">
        <v>11</v>
      </c>
      <c r="I30" s="3">
        <v>88.5</v>
      </c>
      <c r="J30" s="3">
        <v>15.51</v>
      </c>
      <c r="K30" s="3">
        <v>0</v>
      </c>
      <c r="L30" s="3">
        <v>4.3</v>
      </c>
      <c r="M30" s="3">
        <v>614596.31999999995</v>
      </c>
      <c r="N30" s="3">
        <v>131199.41</v>
      </c>
      <c r="O30">
        <f t="shared" si="0"/>
        <v>0</v>
      </c>
    </row>
    <row r="31" spans="1:15">
      <c r="A31" s="3" t="s">
        <v>72</v>
      </c>
      <c r="B31" s="5">
        <v>45689</v>
      </c>
      <c r="C31" s="3" t="s">
        <v>15</v>
      </c>
      <c r="D31" s="3" t="s">
        <v>21</v>
      </c>
      <c r="E31" s="3">
        <v>78111.97</v>
      </c>
      <c r="F31" s="3">
        <v>6389</v>
      </c>
      <c r="G31" s="7">
        <v>0.15</v>
      </c>
      <c r="H31" s="3">
        <v>13</v>
      </c>
      <c r="I31" s="3">
        <v>83.9</v>
      </c>
      <c r="J31" s="3">
        <v>3.05</v>
      </c>
      <c r="K31" s="3">
        <v>0</v>
      </c>
      <c r="L31" s="3">
        <v>4.8</v>
      </c>
      <c r="M31" s="3">
        <v>787715.51</v>
      </c>
      <c r="N31" s="3">
        <v>128969.62</v>
      </c>
      <c r="O31">
        <f t="shared" si="0"/>
        <v>1</v>
      </c>
    </row>
    <row r="32" spans="1:15">
      <c r="A32" s="3" t="s">
        <v>41</v>
      </c>
      <c r="B32" s="5">
        <v>45748</v>
      </c>
      <c r="C32" s="3" t="s">
        <v>24</v>
      </c>
      <c r="D32" s="3" t="s">
        <v>18</v>
      </c>
      <c r="E32" s="3">
        <v>77999.899999999994</v>
      </c>
      <c r="F32" s="3">
        <v>5974</v>
      </c>
      <c r="G32" s="7">
        <v>0.252</v>
      </c>
      <c r="H32" s="3">
        <v>14</v>
      </c>
      <c r="I32" s="3">
        <v>81.3</v>
      </c>
      <c r="J32" s="3">
        <v>2.39</v>
      </c>
      <c r="K32" s="3">
        <v>0</v>
      </c>
      <c r="L32" s="3">
        <v>3.2</v>
      </c>
      <c r="M32" s="3">
        <v>636561.34</v>
      </c>
      <c r="N32" s="3">
        <v>93861.06</v>
      </c>
      <c r="O32">
        <f t="shared" si="0"/>
        <v>0</v>
      </c>
    </row>
    <row r="33" spans="1:15">
      <c r="A33" s="3" t="s">
        <v>83</v>
      </c>
      <c r="B33" s="5">
        <v>45658</v>
      </c>
      <c r="C33" s="3" t="s">
        <v>15</v>
      </c>
      <c r="D33" s="3" t="s">
        <v>18</v>
      </c>
      <c r="E33" s="3">
        <v>76942.2</v>
      </c>
      <c r="F33" s="3">
        <v>8934</v>
      </c>
      <c r="G33" s="7">
        <v>8.4000000000000005E-2</v>
      </c>
      <c r="H33" s="3">
        <v>20</v>
      </c>
      <c r="I33" s="3">
        <v>91</v>
      </c>
      <c r="J33" s="3">
        <v>0.95</v>
      </c>
      <c r="K33" s="3">
        <v>0</v>
      </c>
      <c r="L33" s="3">
        <v>3.2</v>
      </c>
      <c r="M33" s="3">
        <v>802001.68</v>
      </c>
      <c r="N33" s="3">
        <v>159715.82</v>
      </c>
      <c r="O33">
        <f t="shared" si="0"/>
        <v>1</v>
      </c>
    </row>
    <row r="34" spans="1:15">
      <c r="A34" s="3" t="s">
        <v>101</v>
      </c>
      <c r="B34" s="5">
        <v>45658</v>
      </c>
      <c r="C34" s="3" t="s">
        <v>15</v>
      </c>
      <c r="D34" s="3" t="s">
        <v>16</v>
      </c>
      <c r="E34" s="3">
        <v>76614.320000000007</v>
      </c>
      <c r="F34" s="3">
        <v>5639</v>
      </c>
      <c r="G34" s="7">
        <v>0.17399999999999999</v>
      </c>
      <c r="H34" s="3">
        <v>15</v>
      </c>
      <c r="I34" s="3">
        <v>92.9</v>
      </c>
      <c r="J34" s="3">
        <v>1.02</v>
      </c>
      <c r="K34" s="3">
        <v>1</v>
      </c>
      <c r="L34" s="3">
        <v>4</v>
      </c>
      <c r="M34" s="3">
        <v>620264.19999999995</v>
      </c>
      <c r="N34" s="3">
        <v>91365.64</v>
      </c>
      <c r="O34">
        <f t="shared" si="0"/>
        <v>1</v>
      </c>
    </row>
    <row r="35" spans="1:15">
      <c r="A35" s="3" t="s">
        <v>60</v>
      </c>
      <c r="B35" s="5">
        <v>45658</v>
      </c>
      <c r="C35" s="3" t="s">
        <v>15</v>
      </c>
      <c r="D35" s="3" t="s">
        <v>18</v>
      </c>
      <c r="E35" s="3">
        <v>75645.23</v>
      </c>
      <c r="F35" s="3">
        <v>9674</v>
      </c>
      <c r="G35" s="7">
        <v>0.23400000000000001</v>
      </c>
      <c r="H35" s="3">
        <v>21</v>
      </c>
      <c r="I35" s="3">
        <v>87.4</v>
      </c>
      <c r="J35" s="3">
        <v>0.2</v>
      </c>
      <c r="K35" s="3">
        <v>0</v>
      </c>
      <c r="L35" s="4">
        <v>4.5</v>
      </c>
      <c r="M35" s="3">
        <v>785028.25</v>
      </c>
      <c r="N35" s="3">
        <v>110726.44</v>
      </c>
      <c r="O35">
        <f t="shared" si="0"/>
        <v>1</v>
      </c>
    </row>
    <row r="36" spans="1:15">
      <c r="A36" s="3" t="s">
        <v>85</v>
      </c>
      <c r="B36" s="5">
        <v>45717</v>
      </c>
      <c r="C36" s="3" t="s">
        <v>24</v>
      </c>
      <c r="D36" s="3" t="s">
        <v>21</v>
      </c>
      <c r="E36" s="3">
        <v>75412.740000000005</v>
      </c>
      <c r="F36" s="3">
        <v>5641</v>
      </c>
      <c r="G36" s="7">
        <v>5.8999999999999997E-2</v>
      </c>
      <c r="H36" s="3">
        <v>13</v>
      </c>
      <c r="I36" s="3">
        <v>87.9</v>
      </c>
      <c r="J36" s="3">
        <v>0.84</v>
      </c>
      <c r="K36" s="3">
        <v>0</v>
      </c>
      <c r="L36" s="3">
        <v>3.6</v>
      </c>
      <c r="M36" s="3">
        <v>720079.54</v>
      </c>
      <c r="N36" s="3">
        <v>119499.47</v>
      </c>
      <c r="O36">
        <f t="shared" si="0"/>
        <v>0</v>
      </c>
    </row>
    <row r="37" spans="1:15">
      <c r="A37" s="3" t="s">
        <v>22</v>
      </c>
      <c r="B37" s="5">
        <v>45748</v>
      </c>
      <c r="C37" s="3" t="s">
        <v>15</v>
      </c>
      <c r="D37" s="3" t="s">
        <v>16</v>
      </c>
      <c r="E37" s="3">
        <v>75305.710000000006</v>
      </c>
      <c r="F37" s="3">
        <v>10940</v>
      </c>
      <c r="G37" s="7">
        <v>6.0000000000000001E-3</v>
      </c>
      <c r="H37" s="3">
        <v>26</v>
      </c>
      <c r="I37" s="3">
        <v>76.5</v>
      </c>
      <c r="J37" s="3">
        <v>1.32</v>
      </c>
      <c r="K37" s="3">
        <v>0</v>
      </c>
      <c r="L37" s="3">
        <v>4.5</v>
      </c>
      <c r="M37" s="3">
        <v>834017.02</v>
      </c>
      <c r="N37" s="3">
        <v>114745.03</v>
      </c>
      <c r="O37">
        <f t="shared" si="0"/>
        <v>1</v>
      </c>
    </row>
    <row r="38" spans="1:15">
      <c r="A38" s="3" t="s">
        <v>31</v>
      </c>
      <c r="B38" s="5">
        <v>45658</v>
      </c>
      <c r="C38" s="3" t="s">
        <v>20</v>
      </c>
      <c r="D38" s="3" t="s">
        <v>28</v>
      </c>
      <c r="E38" s="3">
        <v>75269.87</v>
      </c>
      <c r="F38" s="3">
        <v>8838</v>
      </c>
      <c r="G38" s="7">
        <v>9.1999999999999998E-2</v>
      </c>
      <c r="H38" s="3">
        <v>21</v>
      </c>
      <c r="I38" s="3">
        <v>83.1</v>
      </c>
      <c r="J38" s="3">
        <v>9.56</v>
      </c>
      <c r="K38" s="3">
        <v>1</v>
      </c>
      <c r="L38" s="3">
        <v>4.2</v>
      </c>
      <c r="M38" s="3">
        <v>820593.93</v>
      </c>
      <c r="N38" s="3">
        <v>115860.06</v>
      </c>
      <c r="O38">
        <f t="shared" si="0"/>
        <v>0</v>
      </c>
    </row>
    <row r="39" spans="1:15">
      <c r="A39" s="3" t="s">
        <v>49</v>
      </c>
      <c r="B39" s="5">
        <v>45658</v>
      </c>
      <c r="C39" s="3" t="s">
        <v>15</v>
      </c>
      <c r="D39" s="3" t="s">
        <v>28</v>
      </c>
      <c r="E39" s="3">
        <v>75265.02</v>
      </c>
      <c r="F39" s="3">
        <v>6975</v>
      </c>
      <c r="G39" s="7">
        <v>0.157</v>
      </c>
      <c r="H39" s="3">
        <v>20</v>
      </c>
      <c r="I39" s="3">
        <v>73.8</v>
      </c>
      <c r="J39" s="3">
        <v>6.35</v>
      </c>
      <c r="K39" s="3">
        <v>1</v>
      </c>
      <c r="L39" s="3">
        <v>3.8</v>
      </c>
      <c r="M39" s="3">
        <v>709478.39</v>
      </c>
      <c r="N39" s="3">
        <v>71294.27</v>
      </c>
      <c r="O39">
        <f t="shared" si="0"/>
        <v>1</v>
      </c>
    </row>
    <row r="40" spans="1:15">
      <c r="A40" s="3" t="s">
        <v>56</v>
      </c>
      <c r="B40" s="5">
        <v>45689</v>
      </c>
      <c r="C40" s="3" t="s">
        <v>24</v>
      </c>
      <c r="D40" s="3" t="s">
        <v>16</v>
      </c>
      <c r="E40" s="3">
        <v>75109.67</v>
      </c>
      <c r="F40" s="3">
        <v>6244</v>
      </c>
      <c r="G40" s="7">
        <v>7.9000000000000001E-2</v>
      </c>
      <c r="H40" s="3">
        <v>15</v>
      </c>
      <c r="I40" s="3">
        <v>96.3</v>
      </c>
      <c r="J40" s="3">
        <v>7.38</v>
      </c>
      <c r="K40" s="3">
        <v>0</v>
      </c>
      <c r="L40" s="3">
        <v>3.7</v>
      </c>
      <c r="M40" s="3">
        <v>743348.84</v>
      </c>
      <c r="N40" s="3">
        <v>104186.09</v>
      </c>
      <c r="O40">
        <f t="shared" si="0"/>
        <v>0</v>
      </c>
    </row>
    <row r="41" spans="1:15">
      <c r="A41" s="3" t="s">
        <v>37</v>
      </c>
      <c r="B41" s="5">
        <v>45748</v>
      </c>
      <c r="C41" s="3" t="s">
        <v>24</v>
      </c>
      <c r="D41" s="3" t="s">
        <v>18</v>
      </c>
      <c r="E41" s="3">
        <v>74954.47</v>
      </c>
      <c r="F41" s="3">
        <v>6620</v>
      </c>
      <c r="G41" s="7">
        <v>5.3999999999999999E-2</v>
      </c>
      <c r="H41" s="3">
        <v>17</v>
      </c>
      <c r="I41" s="3">
        <v>91.1</v>
      </c>
      <c r="J41" s="3">
        <v>1.1100000000000001</v>
      </c>
      <c r="K41" s="3">
        <v>0</v>
      </c>
      <c r="L41" s="3">
        <v>3.5</v>
      </c>
      <c r="M41" s="3">
        <v>761860.19</v>
      </c>
      <c r="N41" s="3">
        <v>133279.38</v>
      </c>
      <c r="O41">
        <f t="shared" si="0"/>
        <v>0</v>
      </c>
    </row>
    <row r="42" spans="1:15">
      <c r="A42" s="3" t="s">
        <v>37</v>
      </c>
      <c r="B42" s="5">
        <v>45658</v>
      </c>
      <c r="C42" s="3" t="s">
        <v>24</v>
      </c>
      <c r="D42" s="3" t="s">
        <v>18</v>
      </c>
      <c r="E42" s="3">
        <v>74907.98</v>
      </c>
      <c r="F42" s="3">
        <v>5306</v>
      </c>
      <c r="G42" s="7">
        <v>6.2E-2</v>
      </c>
      <c r="H42" s="3">
        <v>16</v>
      </c>
      <c r="I42" s="3">
        <v>95.6</v>
      </c>
      <c r="J42" s="3">
        <v>1.02</v>
      </c>
      <c r="K42" s="3">
        <v>0</v>
      </c>
      <c r="L42" s="3">
        <v>3.7</v>
      </c>
      <c r="M42" s="3">
        <v>749559.71</v>
      </c>
      <c r="N42" s="3">
        <v>144522.53</v>
      </c>
      <c r="O42">
        <f t="shared" si="0"/>
        <v>0</v>
      </c>
    </row>
    <row r="43" spans="1:15">
      <c r="A43" s="3" t="s">
        <v>66</v>
      </c>
      <c r="B43" s="5">
        <v>45748</v>
      </c>
      <c r="C43" s="3" t="s">
        <v>27</v>
      </c>
      <c r="D43" s="3" t="s">
        <v>21</v>
      </c>
      <c r="E43" s="3">
        <v>74881.56</v>
      </c>
      <c r="F43" s="3">
        <v>9999</v>
      </c>
      <c r="G43" s="7">
        <v>1.2999999999999999E-2</v>
      </c>
      <c r="H43" s="3">
        <v>20</v>
      </c>
      <c r="I43" s="3">
        <v>89.6</v>
      </c>
      <c r="J43" s="3">
        <v>8.44</v>
      </c>
      <c r="K43" s="3">
        <v>0</v>
      </c>
      <c r="L43" s="3">
        <v>4.0999999999999996</v>
      </c>
      <c r="M43" s="3">
        <v>898031.04</v>
      </c>
      <c r="N43" s="3">
        <v>138666.5</v>
      </c>
      <c r="O43">
        <f t="shared" si="0"/>
        <v>0</v>
      </c>
    </row>
    <row r="44" spans="1:15">
      <c r="A44" s="3" t="s">
        <v>48</v>
      </c>
      <c r="B44" s="5">
        <v>45689</v>
      </c>
      <c r="C44" s="3" t="s">
        <v>27</v>
      </c>
      <c r="D44" s="3" t="s">
        <v>18</v>
      </c>
      <c r="E44" s="3">
        <v>74679.350000000006</v>
      </c>
      <c r="F44" s="3">
        <v>8739</v>
      </c>
      <c r="G44" s="7">
        <v>5.6000000000000001E-2</v>
      </c>
      <c r="H44" s="3">
        <v>21</v>
      </c>
      <c r="I44" s="3">
        <v>91.8</v>
      </c>
      <c r="J44" s="3">
        <v>2.83</v>
      </c>
      <c r="K44" s="3">
        <v>0</v>
      </c>
      <c r="L44" s="3">
        <v>3</v>
      </c>
      <c r="M44" s="3">
        <v>783797.89</v>
      </c>
      <c r="N44" s="3">
        <v>157620.70000000001</v>
      </c>
      <c r="O44">
        <f t="shared" si="0"/>
        <v>0</v>
      </c>
    </row>
    <row r="45" spans="1:15">
      <c r="A45" s="3" t="s">
        <v>93</v>
      </c>
      <c r="B45" s="5">
        <v>45689</v>
      </c>
      <c r="C45" s="3" t="s">
        <v>27</v>
      </c>
      <c r="D45" s="3" t="s">
        <v>16</v>
      </c>
      <c r="E45" s="3">
        <v>74539.14</v>
      </c>
      <c r="F45" s="3">
        <v>4487</v>
      </c>
      <c r="G45" s="7">
        <v>0.14000000000000001</v>
      </c>
      <c r="H45" s="3">
        <v>10</v>
      </c>
      <c r="I45" s="3">
        <v>90.4</v>
      </c>
      <c r="J45" s="3">
        <v>0.59</v>
      </c>
      <c r="K45" s="3">
        <v>0</v>
      </c>
      <c r="L45" s="3">
        <v>4.5</v>
      </c>
      <c r="M45" s="3">
        <v>633009.53</v>
      </c>
      <c r="N45" s="3">
        <v>123782.67</v>
      </c>
      <c r="O45">
        <f t="shared" si="0"/>
        <v>0</v>
      </c>
    </row>
    <row r="46" spans="1:15">
      <c r="A46" s="3" t="s">
        <v>30</v>
      </c>
      <c r="B46" s="5">
        <v>45717</v>
      </c>
      <c r="C46" s="3" t="s">
        <v>20</v>
      </c>
      <c r="D46" s="3" t="s">
        <v>16</v>
      </c>
      <c r="E46" s="3">
        <v>74413.88</v>
      </c>
      <c r="F46" s="3">
        <v>9449</v>
      </c>
      <c r="G46" s="7">
        <v>3.9E-2</v>
      </c>
      <c r="H46" s="3">
        <v>23</v>
      </c>
      <c r="I46" s="3">
        <v>92.1</v>
      </c>
      <c r="J46" s="3">
        <v>2.12</v>
      </c>
      <c r="K46" s="3">
        <v>0</v>
      </c>
      <c r="L46" s="3">
        <v>3.5</v>
      </c>
      <c r="M46" s="3">
        <v>798952.17</v>
      </c>
      <c r="N46" s="3">
        <v>161499.04</v>
      </c>
      <c r="O46">
        <f t="shared" si="0"/>
        <v>0</v>
      </c>
    </row>
    <row r="47" spans="1:15">
      <c r="A47" s="3" t="s">
        <v>30</v>
      </c>
      <c r="B47" s="5">
        <v>45689</v>
      </c>
      <c r="C47" s="3" t="s">
        <v>20</v>
      </c>
      <c r="D47" s="3" t="s">
        <v>16</v>
      </c>
      <c r="E47" s="3">
        <v>73771.91</v>
      </c>
      <c r="F47" s="3">
        <v>11695</v>
      </c>
      <c r="G47" s="7">
        <v>7.0000000000000007E-2</v>
      </c>
      <c r="H47" s="3">
        <v>25</v>
      </c>
      <c r="I47" s="3">
        <v>84.7</v>
      </c>
      <c r="J47" s="3">
        <v>0.62</v>
      </c>
      <c r="K47" s="3">
        <v>0</v>
      </c>
      <c r="L47" s="3">
        <v>3.92</v>
      </c>
      <c r="M47" s="3">
        <v>799477.76000000001</v>
      </c>
      <c r="N47" s="3">
        <v>164974.41</v>
      </c>
      <c r="O47">
        <f t="shared" si="0"/>
        <v>0</v>
      </c>
    </row>
    <row r="48" spans="1:15">
      <c r="A48" s="3" t="s">
        <v>77</v>
      </c>
      <c r="B48" s="5">
        <v>45748</v>
      </c>
      <c r="C48" s="3" t="s">
        <v>15</v>
      </c>
      <c r="D48" s="3" t="s">
        <v>18</v>
      </c>
      <c r="E48" s="3">
        <v>73540.990000000005</v>
      </c>
      <c r="F48" s="3">
        <v>8773</v>
      </c>
      <c r="G48" s="7">
        <v>3.5000000000000003E-2</v>
      </c>
      <c r="H48" s="3">
        <v>21</v>
      </c>
      <c r="I48" s="3">
        <v>84.4</v>
      </c>
      <c r="J48" s="3">
        <v>6.68</v>
      </c>
      <c r="K48" s="3">
        <v>0</v>
      </c>
      <c r="L48" s="3">
        <v>3.6</v>
      </c>
      <c r="M48" s="3">
        <v>723531.4</v>
      </c>
      <c r="N48" s="3">
        <v>108794.85</v>
      </c>
      <c r="O48">
        <f t="shared" si="0"/>
        <v>1</v>
      </c>
    </row>
    <row r="49" spans="1:15">
      <c r="A49" s="3" t="s">
        <v>88</v>
      </c>
      <c r="B49" s="5">
        <v>45689</v>
      </c>
      <c r="C49" s="3" t="s">
        <v>15</v>
      </c>
      <c r="D49" s="3" t="s">
        <v>18</v>
      </c>
      <c r="E49" s="3">
        <v>73454.539999999994</v>
      </c>
      <c r="F49" s="3">
        <v>8129</v>
      </c>
      <c r="G49" s="7">
        <v>0.21099999999999999</v>
      </c>
      <c r="H49" s="3">
        <v>20</v>
      </c>
      <c r="I49" s="3">
        <v>85.2</v>
      </c>
      <c r="J49" s="3">
        <v>0.88</v>
      </c>
      <c r="K49" s="3">
        <v>0</v>
      </c>
      <c r="L49" s="3">
        <v>3.7</v>
      </c>
      <c r="M49" s="3">
        <v>767792.94</v>
      </c>
      <c r="N49" s="3">
        <v>96235.77</v>
      </c>
      <c r="O49">
        <f t="shared" si="0"/>
        <v>1</v>
      </c>
    </row>
    <row r="50" spans="1:15">
      <c r="A50" s="3" t="s">
        <v>81</v>
      </c>
      <c r="B50" s="5">
        <v>45689</v>
      </c>
      <c r="C50" s="3" t="s">
        <v>27</v>
      </c>
      <c r="D50" s="3" t="s">
        <v>28</v>
      </c>
      <c r="E50" s="3">
        <v>72961.95</v>
      </c>
      <c r="F50" s="3">
        <v>9996</v>
      </c>
      <c r="G50" s="7">
        <v>0.106</v>
      </c>
      <c r="H50" s="3">
        <v>22</v>
      </c>
      <c r="I50" s="3">
        <v>89.1</v>
      </c>
      <c r="J50" s="3">
        <v>15.66</v>
      </c>
      <c r="K50" s="3">
        <v>0</v>
      </c>
      <c r="L50" s="3">
        <v>3.4</v>
      </c>
      <c r="M50" s="3">
        <v>810355.02</v>
      </c>
      <c r="N50" s="3">
        <v>131510</v>
      </c>
      <c r="O50">
        <f t="shared" si="0"/>
        <v>0</v>
      </c>
    </row>
    <row r="51" spans="1:15">
      <c r="A51" s="3" t="s">
        <v>84</v>
      </c>
      <c r="B51" s="5">
        <v>45689</v>
      </c>
      <c r="C51" s="3" t="s">
        <v>20</v>
      </c>
      <c r="D51" s="3" t="s">
        <v>18</v>
      </c>
      <c r="E51" s="3">
        <v>72932.55</v>
      </c>
      <c r="F51" s="3">
        <v>5765</v>
      </c>
      <c r="G51" s="7">
        <v>2.5999999999999999E-2</v>
      </c>
      <c r="H51" s="3">
        <v>17</v>
      </c>
      <c r="I51" s="3">
        <v>81.8</v>
      </c>
      <c r="J51" s="3">
        <v>5.0999999999999996</v>
      </c>
      <c r="K51" s="3">
        <v>0</v>
      </c>
      <c r="L51" s="3">
        <v>3.6</v>
      </c>
      <c r="M51" s="3">
        <v>642751.42000000004</v>
      </c>
      <c r="N51" s="3">
        <v>131942.15</v>
      </c>
      <c r="O51">
        <f t="shared" si="0"/>
        <v>0</v>
      </c>
    </row>
    <row r="52" spans="1:15">
      <c r="A52" s="3" t="s">
        <v>68</v>
      </c>
      <c r="B52" s="5">
        <v>45748</v>
      </c>
      <c r="C52" s="3" t="s">
        <v>20</v>
      </c>
      <c r="D52" s="3" t="s">
        <v>18</v>
      </c>
      <c r="E52" s="3">
        <v>72784.800000000003</v>
      </c>
      <c r="F52" s="3">
        <v>7932</v>
      </c>
      <c r="G52" s="7">
        <v>9.4E-2</v>
      </c>
      <c r="H52" s="3">
        <v>20</v>
      </c>
      <c r="I52" s="3">
        <v>74.900000000000006</v>
      </c>
      <c r="J52" s="3">
        <v>13.62</v>
      </c>
      <c r="K52" s="3">
        <v>0</v>
      </c>
      <c r="L52" s="3">
        <v>4.2</v>
      </c>
      <c r="M52" s="3">
        <v>712546.38</v>
      </c>
      <c r="N52" s="3">
        <v>101480.04</v>
      </c>
      <c r="O52">
        <f t="shared" si="0"/>
        <v>0</v>
      </c>
    </row>
    <row r="53" spans="1:15">
      <c r="A53" s="3" t="s">
        <v>42</v>
      </c>
      <c r="B53" s="5">
        <v>45717</v>
      </c>
      <c r="C53" s="3" t="s">
        <v>27</v>
      </c>
      <c r="D53" s="3" t="s">
        <v>28</v>
      </c>
      <c r="E53" s="3">
        <v>72731.14</v>
      </c>
      <c r="F53" s="3">
        <v>4644</v>
      </c>
      <c r="G53" s="7">
        <v>8.4000000000000005E-2</v>
      </c>
      <c r="H53" s="3">
        <v>15</v>
      </c>
      <c r="I53" s="3">
        <v>87.1</v>
      </c>
      <c r="J53" s="3">
        <v>2.66</v>
      </c>
      <c r="K53" s="3">
        <v>0</v>
      </c>
      <c r="L53" s="3">
        <v>4.5999999999999996</v>
      </c>
      <c r="M53" s="3">
        <v>727241.86</v>
      </c>
      <c r="N53" s="3">
        <v>155810.29999999999</v>
      </c>
      <c r="O53">
        <f t="shared" si="0"/>
        <v>0</v>
      </c>
    </row>
    <row r="54" spans="1:15">
      <c r="A54" s="3" t="s">
        <v>63</v>
      </c>
      <c r="B54" s="5">
        <v>45658</v>
      </c>
      <c r="C54" s="3" t="s">
        <v>20</v>
      </c>
      <c r="D54" s="3" t="s">
        <v>28</v>
      </c>
      <c r="E54" s="3">
        <v>72150.53</v>
      </c>
      <c r="F54" s="3">
        <v>9323</v>
      </c>
      <c r="G54" s="7">
        <v>0.157</v>
      </c>
      <c r="H54" s="3">
        <v>22</v>
      </c>
      <c r="I54" s="3">
        <v>82.9</v>
      </c>
      <c r="J54" s="3">
        <v>11.37</v>
      </c>
      <c r="K54" s="3">
        <v>1</v>
      </c>
      <c r="L54" s="3">
        <v>4.3</v>
      </c>
      <c r="M54" s="3">
        <v>825797.91</v>
      </c>
      <c r="N54" s="3">
        <v>130945.24</v>
      </c>
      <c r="O54">
        <f t="shared" si="0"/>
        <v>0</v>
      </c>
    </row>
    <row r="55" spans="1:15">
      <c r="A55" s="3" t="s">
        <v>68</v>
      </c>
      <c r="B55" s="5">
        <v>45658</v>
      </c>
      <c r="C55" s="3" t="s">
        <v>20</v>
      </c>
      <c r="D55" s="3" t="s">
        <v>18</v>
      </c>
      <c r="E55" s="3">
        <v>71941.62</v>
      </c>
      <c r="F55" s="3">
        <v>6084</v>
      </c>
      <c r="G55" s="7">
        <v>7.1999999999999995E-2</v>
      </c>
      <c r="H55" s="3">
        <v>13</v>
      </c>
      <c r="I55" s="3">
        <v>93.7</v>
      </c>
      <c r="J55" s="3">
        <v>2.34</v>
      </c>
      <c r="K55" s="3">
        <v>0</v>
      </c>
      <c r="L55" s="3">
        <v>4.4000000000000004</v>
      </c>
      <c r="M55" s="3">
        <v>681855.56</v>
      </c>
      <c r="N55" s="3">
        <v>117645.61</v>
      </c>
      <c r="O55">
        <f t="shared" si="0"/>
        <v>0</v>
      </c>
    </row>
    <row r="56" spans="1:15">
      <c r="A56" s="3" t="s">
        <v>59</v>
      </c>
      <c r="B56" s="5">
        <v>45748</v>
      </c>
      <c r="C56" s="3" t="s">
        <v>24</v>
      </c>
      <c r="D56" s="3" t="s">
        <v>28</v>
      </c>
      <c r="E56" s="3">
        <v>71855.09</v>
      </c>
      <c r="F56" s="3">
        <v>5911</v>
      </c>
      <c r="G56" s="7">
        <v>0.19700000000000001</v>
      </c>
      <c r="H56" s="3">
        <v>15</v>
      </c>
      <c r="I56" s="3">
        <v>94.3</v>
      </c>
      <c r="J56" s="3">
        <v>3.55</v>
      </c>
      <c r="K56" s="3">
        <v>0</v>
      </c>
      <c r="L56" s="3">
        <v>4.0999999999999996</v>
      </c>
      <c r="M56" s="3">
        <v>725847.99</v>
      </c>
      <c r="N56" s="3">
        <v>122698.73</v>
      </c>
      <c r="O56">
        <f t="shared" si="0"/>
        <v>0</v>
      </c>
    </row>
    <row r="57" spans="1:15">
      <c r="A57" s="3" t="s">
        <v>71</v>
      </c>
      <c r="B57" s="5">
        <v>45658</v>
      </c>
      <c r="C57" s="3" t="s">
        <v>20</v>
      </c>
      <c r="D57" s="3" t="s">
        <v>16</v>
      </c>
      <c r="E57" s="3">
        <v>71851.45</v>
      </c>
      <c r="F57" s="3">
        <v>4970</v>
      </c>
      <c r="G57" s="7">
        <v>9.8000000000000004E-2</v>
      </c>
      <c r="H57" s="3">
        <v>11</v>
      </c>
      <c r="I57" s="3">
        <v>89.6</v>
      </c>
      <c r="J57" s="3">
        <v>0.2</v>
      </c>
      <c r="K57" s="3">
        <v>0</v>
      </c>
      <c r="L57" s="3">
        <v>4.2</v>
      </c>
      <c r="M57" s="3">
        <v>691447.43</v>
      </c>
      <c r="N57" s="3">
        <v>114077.69</v>
      </c>
      <c r="O57">
        <f t="shared" si="0"/>
        <v>0</v>
      </c>
    </row>
    <row r="58" spans="1:15">
      <c r="A58" s="3" t="s">
        <v>19</v>
      </c>
      <c r="B58" s="5">
        <v>45658</v>
      </c>
      <c r="C58" s="3" t="s">
        <v>20</v>
      </c>
      <c r="D58" s="3" t="s">
        <v>21</v>
      </c>
      <c r="E58" s="3">
        <v>71838.86</v>
      </c>
      <c r="F58" s="3">
        <v>10979</v>
      </c>
      <c r="G58" s="7">
        <v>0.215</v>
      </c>
      <c r="H58" s="3">
        <v>26</v>
      </c>
      <c r="I58" s="3">
        <v>88.6</v>
      </c>
      <c r="J58" s="3">
        <v>7.7</v>
      </c>
      <c r="K58" s="3">
        <v>1</v>
      </c>
      <c r="L58" s="3">
        <v>3.8</v>
      </c>
      <c r="M58" s="3">
        <v>930581.7</v>
      </c>
      <c r="N58" s="3">
        <v>136207.98000000001</v>
      </c>
      <c r="O58">
        <f t="shared" si="0"/>
        <v>0</v>
      </c>
    </row>
    <row r="59" spans="1:15">
      <c r="A59" s="3" t="s">
        <v>22</v>
      </c>
      <c r="B59" s="5">
        <v>45658</v>
      </c>
      <c r="C59" s="3" t="s">
        <v>15</v>
      </c>
      <c r="D59" s="3" t="s">
        <v>16</v>
      </c>
      <c r="E59" s="3">
        <v>71828.259999999995</v>
      </c>
      <c r="F59" s="3">
        <v>12775</v>
      </c>
      <c r="G59" s="7">
        <v>0.11600000000000001</v>
      </c>
      <c r="H59" s="3">
        <v>30</v>
      </c>
      <c r="I59" s="3">
        <v>81.7</v>
      </c>
      <c r="J59" s="3">
        <v>4.24</v>
      </c>
      <c r="K59" s="3">
        <v>1</v>
      </c>
      <c r="L59" s="3">
        <v>4.2</v>
      </c>
      <c r="M59" s="3">
        <v>922168.6</v>
      </c>
      <c r="N59" s="3">
        <v>107494.53</v>
      </c>
      <c r="O59">
        <f t="shared" si="0"/>
        <v>1</v>
      </c>
    </row>
    <row r="60" spans="1:15">
      <c r="A60" s="3" t="s">
        <v>69</v>
      </c>
      <c r="B60" s="5">
        <v>45658</v>
      </c>
      <c r="C60" s="3" t="s">
        <v>15</v>
      </c>
      <c r="D60" s="3" t="s">
        <v>18</v>
      </c>
      <c r="E60" s="3">
        <v>71641.899999999994</v>
      </c>
      <c r="F60" s="3">
        <v>3506</v>
      </c>
      <c r="G60" s="7">
        <v>0</v>
      </c>
      <c r="H60" s="3">
        <v>11</v>
      </c>
      <c r="I60" s="3">
        <v>86.4</v>
      </c>
      <c r="J60" s="3">
        <v>7.77</v>
      </c>
      <c r="K60" s="3">
        <v>0</v>
      </c>
      <c r="L60" s="3">
        <v>4.0999999999999996</v>
      </c>
      <c r="M60" s="3">
        <v>625993.82999999996</v>
      </c>
      <c r="N60" s="3">
        <v>98960.320000000007</v>
      </c>
      <c r="O60">
        <f t="shared" si="0"/>
        <v>1</v>
      </c>
    </row>
    <row r="61" spans="1:15">
      <c r="A61" s="3" t="s">
        <v>56</v>
      </c>
      <c r="B61" s="5">
        <v>45658</v>
      </c>
      <c r="C61" s="3" t="s">
        <v>24</v>
      </c>
      <c r="D61" s="3" t="s">
        <v>16</v>
      </c>
      <c r="E61" s="3">
        <v>71320.66</v>
      </c>
      <c r="F61" s="3">
        <v>7888</v>
      </c>
      <c r="G61" s="7">
        <v>4.8000000000000001E-2</v>
      </c>
      <c r="H61" s="3">
        <v>20</v>
      </c>
      <c r="I61" s="3">
        <v>78.099999999999994</v>
      </c>
      <c r="J61" s="3">
        <v>3.4</v>
      </c>
      <c r="K61" s="3">
        <v>0</v>
      </c>
      <c r="L61" s="3">
        <v>3.92</v>
      </c>
      <c r="M61" s="3">
        <v>633638.03</v>
      </c>
      <c r="N61" s="3">
        <v>99402.01</v>
      </c>
      <c r="O61">
        <f t="shared" si="0"/>
        <v>0</v>
      </c>
    </row>
    <row r="62" spans="1:15">
      <c r="A62" s="3" t="s">
        <v>39</v>
      </c>
      <c r="B62" s="5">
        <v>45658</v>
      </c>
      <c r="C62" s="3" t="s">
        <v>15</v>
      </c>
      <c r="D62" s="3" t="s">
        <v>18</v>
      </c>
      <c r="E62" s="3">
        <v>70937.240000000005</v>
      </c>
      <c r="F62" s="3">
        <v>3595</v>
      </c>
      <c r="G62" s="7">
        <v>0.14099999999999999</v>
      </c>
      <c r="H62" s="3">
        <v>11</v>
      </c>
      <c r="I62" s="3">
        <v>88.9</v>
      </c>
      <c r="J62" s="3">
        <v>2.83</v>
      </c>
      <c r="K62" s="3">
        <v>1</v>
      </c>
      <c r="L62" s="3">
        <v>3.3</v>
      </c>
      <c r="M62" s="3">
        <v>661927.14</v>
      </c>
      <c r="N62" s="3">
        <v>79218.570000000007</v>
      </c>
      <c r="O62">
        <f t="shared" si="0"/>
        <v>1</v>
      </c>
    </row>
    <row r="63" spans="1:15">
      <c r="A63" s="3" t="s">
        <v>82</v>
      </c>
      <c r="B63" s="5">
        <v>45717</v>
      </c>
      <c r="C63" s="3" t="s">
        <v>24</v>
      </c>
      <c r="D63" s="3" t="s">
        <v>21</v>
      </c>
      <c r="E63" s="3">
        <v>70799.64</v>
      </c>
      <c r="F63" s="3">
        <v>10076</v>
      </c>
      <c r="G63" s="7">
        <v>0.152</v>
      </c>
      <c r="H63" s="3">
        <v>24</v>
      </c>
      <c r="I63" s="3">
        <v>84.8</v>
      </c>
      <c r="J63" s="3">
        <v>1.87</v>
      </c>
      <c r="K63" s="3">
        <v>0</v>
      </c>
      <c r="L63" s="3">
        <v>3.5</v>
      </c>
      <c r="M63" s="3">
        <v>828219.67</v>
      </c>
      <c r="N63" s="3">
        <v>179806.87</v>
      </c>
      <c r="O63">
        <f t="shared" si="0"/>
        <v>0</v>
      </c>
    </row>
    <row r="64" spans="1:15">
      <c r="A64" s="3" t="s">
        <v>58</v>
      </c>
      <c r="B64" s="5">
        <v>45658</v>
      </c>
      <c r="C64" s="3" t="s">
        <v>20</v>
      </c>
      <c r="D64" s="3" t="s">
        <v>16</v>
      </c>
      <c r="E64" s="3">
        <v>70488.2</v>
      </c>
      <c r="F64" s="3">
        <v>4312</v>
      </c>
      <c r="G64" s="7">
        <v>0.16900000000000001</v>
      </c>
      <c r="H64" s="3">
        <v>12</v>
      </c>
      <c r="I64" s="3">
        <v>90.2</v>
      </c>
      <c r="J64" s="3">
        <v>3.71</v>
      </c>
      <c r="K64" s="3">
        <v>0</v>
      </c>
      <c r="L64" s="3">
        <v>3.2</v>
      </c>
      <c r="M64" s="3">
        <v>577732.56999999995</v>
      </c>
      <c r="N64" s="3">
        <v>93804.27</v>
      </c>
      <c r="O64">
        <f t="shared" si="0"/>
        <v>0</v>
      </c>
    </row>
    <row r="65" spans="1:15">
      <c r="A65" s="3" t="s">
        <v>14</v>
      </c>
      <c r="B65" s="5">
        <v>45658</v>
      </c>
      <c r="C65" s="3" t="s">
        <v>15</v>
      </c>
      <c r="D65" s="3" t="s">
        <v>16</v>
      </c>
      <c r="E65" s="3">
        <v>70389.11</v>
      </c>
      <c r="F65" s="3">
        <v>8302</v>
      </c>
      <c r="G65" s="7">
        <v>4.2000000000000003E-2</v>
      </c>
      <c r="H65" s="3">
        <v>17</v>
      </c>
      <c r="I65" s="3">
        <v>75</v>
      </c>
      <c r="J65" s="3">
        <v>5.28</v>
      </c>
      <c r="K65" s="3">
        <v>1</v>
      </c>
      <c r="L65" s="3">
        <v>3.1</v>
      </c>
      <c r="M65" s="3">
        <v>658832.62</v>
      </c>
      <c r="N65" s="3">
        <v>84349.93</v>
      </c>
      <c r="O65">
        <f t="shared" si="0"/>
        <v>1</v>
      </c>
    </row>
    <row r="66" spans="1:15">
      <c r="A66" s="3" t="s">
        <v>55</v>
      </c>
      <c r="B66" s="5">
        <v>45748</v>
      </c>
      <c r="C66" s="3" t="s">
        <v>20</v>
      </c>
      <c r="D66" s="3" t="s">
        <v>18</v>
      </c>
      <c r="E66" s="3">
        <v>70366.759999999995</v>
      </c>
      <c r="F66" s="3">
        <v>1963</v>
      </c>
      <c r="G66" s="7">
        <v>0.182</v>
      </c>
      <c r="H66" s="3">
        <v>8</v>
      </c>
      <c r="I66" s="3">
        <v>89.8</v>
      </c>
      <c r="J66" s="3">
        <v>3.2</v>
      </c>
      <c r="K66" s="3">
        <v>0</v>
      </c>
      <c r="L66" s="3">
        <v>4.5999999999999996</v>
      </c>
      <c r="M66" s="3">
        <v>529075.94999999995</v>
      </c>
      <c r="N66" s="3">
        <v>95978.83</v>
      </c>
      <c r="O66">
        <f t="shared" si="0"/>
        <v>0</v>
      </c>
    </row>
    <row r="67" spans="1:15">
      <c r="A67" s="3" t="s">
        <v>91</v>
      </c>
      <c r="B67" s="5">
        <v>45748</v>
      </c>
      <c r="C67" s="3" t="s">
        <v>24</v>
      </c>
      <c r="D67" s="3" t="s">
        <v>16</v>
      </c>
      <c r="E67" s="3">
        <v>70284.06</v>
      </c>
      <c r="F67" s="3">
        <v>9109</v>
      </c>
      <c r="G67" s="7">
        <v>4.0000000000000001E-3</v>
      </c>
      <c r="H67" s="3">
        <v>23</v>
      </c>
      <c r="I67" s="3">
        <v>87</v>
      </c>
      <c r="J67" s="3">
        <v>3.65</v>
      </c>
      <c r="K67" s="3">
        <v>0</v>
      </c>
      <c r="L67" s="3">
        <v>3.7</v>
      </c>
      <c r="M67" s="3">
        <v>761122.42</v>
      </c>
      <c r="N67" s="3">
        <v>149802.04</v>
      </c>
      <c r="O67">
        <f t="shared" ref="O67:O130" si="1">IF(C67="East",1,0)</f>
        <v>0</v>
      </c>
    </row>
    <row r="68" spans="1:15">
      <c r="A68" s="3" t="s">
        <v>55</v>
      </c>
      <c r="B68" s="5">
        <v>45658</v>
      </c>
      <c r="C68" s="3" t="s">
        <v>20</v>
      </c>
      <c r="D68" s="3" t="s">
        <v>18</v>
      </c>
      <c r="E68" s="3">
        <v>70276.28</v>
      </c>
      <c r="F68" s="3">
        <v>3043</v>
      </c>
      <c r="G68" s="7">
        <v>7.9000000000000001E-2</v>
      </c>
      <c r="H68" s="3">
        <v>9</v>
      </c>
      <c r="I68" s="3">
        <v>87.9</v>
      </c>
      <c r="J68" s="3">
        <v>3.77</v>
      </c>
      <c r="K68" s="3">
        <v>0</v>
      </c>
      <c r="L68" s="3">
        <v>4.4000000000000004</v>
      </c>
      <c r="M68" s="3">
        <v>527300.13</v>
      </c>
      <c r="N68" s="3">
        <v>84197.87</v>
      </c>
      <c r="O68">
        <f t="shared" si="1"/>
        <v>0</v>
      </c>
    </row>
    <row r="69" spans="1:15">
      <c r="A69" s="3" t="s">
        <v>40</v>
      </c>
      <c r="B69" s="5">
        <v>45717</v>
      </c>
      <c r="C69" s="3" t="s">
        <v>15</v>
      </c>
      <c r="D69" s="3" t="s">
        <v>16</v>
      </c>
      <c r="E69" s="3">
        <v>70144.78</v>
      </c>
      <c r="F69" s="3">
        <v>6806</v>
      </c>
      <c r="G69" s="7">
        <v>0.17799999999999999</v>
      </c>
      <c r="H69" s="3">
        <v>20</v>
      </c>
      <c r="I69" s="3">
        <v>93.1</v>
      </c>
      <c r="J69" s="3">
        <v>0.28000000000000003</v>
      </c>
      <c r="K69" s="3">
        <v>1</v>
      </c>
      <c r="L69" s="3">
        <v>4.3</v>
      </c>
      <c r="M69" s="3">
        <v>788087.68</v>
      </c>
      <c r="N69" s="3">
        <v>116803.42</v>
      </c>
      <c r="O69">
        <f t="shared" si="1"/>
        <v>1</v>
      </c>
    </row>
    <row r="70" spans="1:15">
      <c r="A70" s="3" t="s">
        <v>38</v>
      </c>
      <c r="B70" s="5">
        <v>45658</v>
      </c>
      <c r="C70" s="3" t="s">
        <v>27</v>
      </c>
      <c r="D70" s="3" t="s">
        <v>18</v>
      </c>
      <c r="E70" s="3">
        <v>70040.31</v>
      </c>
      <c r="F70" s="3">
        <v>9175</v>
      </c>
      <c r="G70" s="7">
        <v>0.107</v>
      </c>
      <c r="H70" s="3">
        <v>23</v>
      </c>
      <c r="I70" s="3">
        <v>95.1</v>
      </c>
      <c r="J70" s="3">
        <v>6.08</v>
      </c>
      <c r="K70" s="3">
        <v>1</v>
      </c>
      <c r="L70" s="3">
        <v>3.4</v>
      </c>
      <c r="M70" s="3">
        <v>784502.68</v>
      </c>
      <c r="N70" s="3">
        <v>129519.72</v>
      </c>
      <c r="O70">
        <f t="shared" si="1"/>
        <v>0</v>
      </c>
    </row>
    <row r="71" spans="1:15">
      <c r="A71" s="3" t="s">
        <v>94</v>
      </c>
      <c r="B71" s="5">
        <v>45658</v>
      </c>
      <c r="C71" s="3" t="s">
        <v>15</v>
      </c>
      <c r="D71" s="3" t="s">
        <v>16</v>
      </c>
      <c r="E71" s="3">
        <v>70012.41</v>
      </c>
      <c r="F71" s="3">
        <v>8484</v>
      </c>
      <c r="G71" s="7">
        <v>0.27300000000000002</v>
      </c>
      <c r="H71" s="3">
        <v>23</v>
      </c>
      <c r="I71" s="3">
        <v>72.900000000000006</v>
      </c>
      <c r="J71" s="3">
        <v>3.34</v>
      </c>
      <c r="K71" s="3">
        <v>0</v>
      </c>
      <c r="L71" s="3">
        <v>3.7</v>
      </c>
      <c r="M71" s="3">
        <v>729424.42</v>
      </c>
      <c r="N71" s="3">
        <v>75592.28</v>
      </c>
      <c r="O71">
        <f t="shared" si="1"/>
        <v>1</v>
      </c>
    </row>
    <row r="72" spans="1:15">
      <c r="A72" s="3" t="s">
        <v>82</v>
      </c>
      <c r="B72" s="5">
        <v>45658</v>
      </c>
      <c r="C72" s="3" t="s">
        <v>24</v>
      </c>
      <c r="D72" s="3" t="s">
        <v>21</v>
      </c>
      <c r="E72" s="3">
        <v>69900.12</v>
      </c>
      <c r="F72" s="3">
        <v>8055</v>
      </c>
      <c r="G72" s="7">
        <v>0.28100000000000003</v>
      </c>
      <c r="H72" s="3">
        <v>22</v>
      </c>
      <c r="I72" s="3">
        <v>85.6</v>
      </c>
      <c r="J72" s="3">
        <v>10.68</v>
      </c>
      <c r="K72" s="3">
        <v>1</v>
      </c>
      <c r="L72" s="3">
        <v>2.9</v>
      </c>
      <c r="M72" s="3">
        <v>776992.93</v>
      </c>
      <c r="N72" s="3">
        <v>101598.32</v>
      </c>
      <c r="O72">
        <f t="shared" si="1"/>
        <v>0</v>
      </c>
    </row>
    <row r="73" spans="1:15">
      <c r="A73" s="3" t="s">
        <v>29</v>
      </c>
      <c r="B73" s="5">
        <v>45748</v>
      </c>
      <c r="C73" s="3" t="s">
        <v>15</v>
      </c>
      <c r="D73" s="3" t="s">
        <v>16</v>
      </c>
      <c r="E73" s="3">
        <v>69816.350000000006</v>
      </c>
      <c r="F73" s="3">
        <v>971</v>
      </c>
      <c r="G73" s="7">
        <v>0.16800000000000001</v>
      </c>
      <c r="H73" s="3">
        <v>5</v>
      </c>
      <c r="I73" s="3">
        <v>89.9</v>
      </c>
      <c r="J73" s="4">
        <v>12.15</v>
      </c>
      <c r="K73" s="3">
        <v>0</v>
      </c>
      <c r="L73" s="3">
        <v>3.6</v>
      </c>
      <c r="M73" s="3">
        <v>427917.38</v>
      </c>
      <c r="N73" s="3">
        <v>81824.31</v>
      </c>
      <c r="O73">
        <f t="shared" si="1"/>
        <v>1</v>
      </c>
    </row>
    <row r="74" spans="1:15">
      <c r="A74" s="3" t="s">
        <v>56</v>
      </c>
      <c r="B74" s="5">
        <v>45717</v>
      </c>
      <c r="C74" s="3" t="s">
        <v>24</v>
      </c>
      <c r="D74" s="3" t="s">
        <v>16</v>
      </c>
      <c r="E74" s="3">
        <v>69779</v>
      </c>
      <c r="F74" s="3">
        <v>6544</v>
      </c>
      <c r="G74" s="7">
        <v>0.152</v>
      </c>
      <c r="H74" s="3">
        <v>18</v>
      </c>
      <c r="I74" s="3">
        <v>90.2</v>
      </c>
      <c r="J74" s="3">
        <v>0.85</v>
      </c>
      <c r="K74" s="3">
        <v>1</v>
      </c>
      <c r="L74" s="3">
        <v>3.3</v>
      </c>
      <c r="M74" s="3">
        <v>758827.64</v>
      </c>
      <c r="N74" s="3">
        <v>161439.48000000001</v>
      </c>
      <c r="O74">
        <f t="shared" si="1"/>
        <v>0</v>
      </c>
    </row>
    <row r="75" spans="1:15">
      <c r="A75" s="3" t="s">
        <v>49</v>
      </c>
      <c r="B75" s="5">
        <v>45689</v>
      </c>
      <c r="C75" s="3" t="s">
        <v>15</v>
      </c>
      <c r="D75" s="3" t="s">
        <v>28</v>
      </c>
      <c r="E75" s="3">
        <v>69411.7</v>
      </c>
      <c r="F75" s="3">
        <v>5493</v>
      </c>
      <c r="G75" s="7">
        <v>0.29199999999999998</v>
      </c>
      <c r="H75" s="3">
        <v>13</v>
      </c>
      <c r="I75" s="3">
        <v>86.5</v>
      </c>
      <c r="J75" s="3">
        <v>6.69</v>
      </c>
      <c r="K75" s="3">
        <v>0</v>
      </c>
      <c r="L75" s="3">
        <v>3.8</v>
      </c>
      <c r="M75" s="3">
        <v>664162.49</v>
      </c>
      <c r="N75" s="3">
        <v>98291.06</v>
      </c>
      <c r="O75">
        <f t="shared" si="1"/>
        <v>1</v>
      </c>
    </row>
    <row r="76" spans="1:15">
      <c r="A76" s="3" t="s">
        <v>76</v>
      </c>
      <c r="B76" s="5">
        <v>45658</v>
      </c>
      <c r="C76" s="3" t="s">
        <v>20</v>
      </c>
      <c r="D76" s="3" t="s">
        <v>21</v>
      </c>
      <c r="E76" s="3">
        <v>69180.539999999994</v>
      </c>
      <c r="F76" s="3">
        <v>5394</v>
      </c>
      <c r="G76" s="7">
        <v>0.126</v>
      </c>
      <c r="H76" s="3">
        <v>12</v>
      </c>
      <c r="I76" s="3">
        <v>82.9</v>
      </c>
      <c r="J76" s="3">
        <v>3.27</v>
      </c>
      <c r="K76" s="3">
        <v>0</v>
      </c>
      <c r="L76" s="3">
        <v>3.3</v>
      </c>
      <c r="M76" s="3">
        <v>674289.1</v>
      </c>
      <c r="N76" s="3">
        <v>117773.79</v>
      </c>
      <c r="O76">
        <f t="shared" si="1"/>
        <v>0</v>
      </c>
    </row>
    <row r="77" spans="1:15">
      <c r="A77" s="3" t="s">
        <v>94</v>
      </c>
      <c r="B77" s="5">
        <v>45689</v>
      </c>
      <c r="C77" s="3" t="s">
        <v>15</v>
      </c>
      <c r="D77" s="3" t="s">
        <v>16</v>
      </c>
      <c r="E77" s="3">
        <v>68909.259999999995</v>
      </c>
      <c r="F77" s="3">
        <v>7794</v>
      </c>
      <c r="G77" s="7">
        <v>0.28399999999999997</v>
      </c>
      <c r="H77" s="3">
        <v>22</v>
      </c>
      <c r="I77" s="3">
        <v>89</v>
      </c>
      <c r="J77" s="3">
        <v>0.33</v>
      </c>
      <c r="K77" s="3">
        <v>0</v>
      </c>
      <c r="L77" s="3">
        <v>4</v>
      </c>
      <c r="M77" s="3">
        <v>696261.49</v>
      </c>
      <c r="N77" s="3">
        <v>72455.350000000006</v>
      </c>
      <c r="O77">
        <f t="shared" si="1"/>
        <v>1</v>
      </c>
    </row>
    <row r="78" spans="1:15">
      <c r="A78" s="3" t="s">
        <v>29</v>
      </c>
      <c r="B78" s="5">
        <v>45658</v>
      </c>
      <c r="C78" s="3" t="s">
        <v>15</v>
      </c>
      <c r="D78" s="3" t="s">
        <v>16</v>
      </c>
      <c r="E78" s="3">
        <v>68600.62</v>
      </c>
      <c r="F78" s="3">
        <v>3988</v>
      </c>
      <c r="G78" s="7">
        <v>0.124</v>
      </c>
      <c r="H78" s="3">
        <v>11</v>
      </c>
      <c r="I78" s="3">
        <v>85</v>
      </c>
      <c r="J78" s="3">
        <v>0.48</v>
      </c>
      <c r="K78" s="3">
        <v>0</v>
      </c>
      <c r="L78" s="3">
        <v>3.6</v>
      </c>
      <c r="M78" s="3">
        <v>511844.41</v>
      </c>
      <c r="N78" s="3">
        <v>72774.44</v>
      </c>
      <c r="O78">
        <f t="shared" si="1"/>
        <v>1</v>
      </c>
    </row>
    <row r="79" spans="1:15">
      <c r="A79" s="3" t="s">
        <v>67</v>
      </c>
      <c r="B79" s="5">
        <v>45658</v>
      </c>
      <c r="C79" s="3" t="s">
        <v>27</v>
      </c>
      <c r="D79" s="3" t="s">
        <v>16</v>
      </c>
      <c r="E79" s="3">
        <v>68491.11</v>
      </c>
      <c r="F79" s="3">
        <v>11154</v>
      </c>
      <c r="G79" s="7">
        <v>1E-3</v>
      </c>
      <c r="H79" s="3">
        <v>24</v>
      </c>
      <c r="I79" s="3">
        <v>89.4</v>
      </c>
      <c r="J79" s="3">
        <v>5.27</v>
      </c>
      <c r="K79" s="3">
        <v>1</v>
      </c>
      <c r="L79" s="3">
        <v>3.9</v>
      </c>
      <c r="M79" s="3">
        <v>855341.28</v>
      </c>
      <c r="N79" s="3">
        <v>175823.8</v>
      </c>
      <c r="O79">
        <f t="shared" si="1"/>
        <v>0</v>
      </c>
    </row>
    <row r="80" spans="1:15">
      <c r="A80" s="3" t="s">
        <v>54</v>
      </c>
      <c r="B80" s="5">
        <v>45689</v>
      </c>
      <c r="C80" s="3" t="s">
        <v>15</v>
      </c>
      <c r="D80" s="3" t="s">
        <v>18</v>
      </c>
      <c r="E80" s="3">
        <v>68410.929999999993</v>
      </c>
      <c r="F80" s="3">
        <v>10596</v>
      </c>
      <c r="G80" s="7">
        <v>0.20699999999999999</v>
      </c>
      <c r="H80" s="3">
        <v>25</v>
      </c>
      <c r="I80" s="3">
        <v>81.2</v>
      </c>
      <c r="J80" s="3">
        <v>0.21</v>
      </c>
      <c r="K80" s="3">
        <v>0</v>
      </c>
      <c r="L80" s="3">
        <v>4</v>
      </c>
      <c r="M80" s="3">
        <v>801830.35</v>
      </c>
      <c r="N80" s="3">
        <v>114875.32</v>
      </c>
      <c r="O80">
        <f t="shared" si="1"/>
        <v>1</v>
      </c>
    </row>
    <row r="81" spans="1:15">
      <c r="A81" s="3" t="s">
        <v>78</v>
      </c>
      <c r="B81" s="5">
        <v>45658</v>
      </c>
      <c r="C81" s="3" t="s">
        <v>15</v>
      </c>
      <c r="D81" s="3" t="s">
        <v>28</v>
      </c>
      <c r="E81" s="3">
        <v>68212.289999999994</v>
      </c>
      <c r="F81" s="3">
        <v>4713</v>
      </c>
      <c r="G81" s="7">
        <v>0.19800000000000001</v>
      </c>
      <c r="H81" s="3">
        <v>15</v>
      </c>
      <c r="I81" s="3">
        <v>82.6</v>
      </c>
      <c r="J81" s="3">
        <v>4.07</v>
      </c>
      <c r="K81" s="3">
        <v>1</v>
      </c>
      <c r="L81" s="3">
        <v>3</v>
      </c>
      <c r="M81" s="3">
        <v>641564.6</v>
      </c>
      <c r="N81" s="3">
        <v>90468.96</v>
      </c>
      <c r="O81">
        <f t="shared" si="1"/>
        <v>1</v>
      </c>
    </row>
    <row r="82" spans="1:15">
      <c r="A82" s="3" t="s">
        <v>17</v>
      </c>
      <c r="B82" s="5">
        <v>45748</v>
      </c>
      <c r="C82" s="3" t="s">
        <v>15</v>
      </c>
      <c r="D82" s="3" t="s">
        <v>18</v>
      </c>
      <c r="E82" s="3">
        <v>68148.52</v>
      </c>
      <c r="F82" s="3">
        <v>8567</v>
      </c>
      <c r="G82" s="7">
        <v>0.127</v>
      </c>
      <c r="H82" s="3">
        <v>23</v>
      </c>
      <c r="I82" s="3">
        <v>95.6</v>
      </c>
      <c r="J82" s="3">
        <v>0.8</v>
      </c>
      <c r="K82" s="3">
        <v>0</v>
      </c>
      <c r="L82" s="3">
        <v>3.9</v>
      </c>
      <c r="M82" s="3">
        <v>850164.26</v>
      </c>
      <c r="N82" s="3">
        <v>149262.75</v>
      </c>
      <c r="O82">
        <f t="shared" si="1"/>
        <v>1</v>
      </c>
    </row>
    <row r="83" spans="1:15">
      <c r="A83" s="3" t="s">
        <v>19</v>
      </c>
      <c r="B83" s="5">
        <v>45689</v>
      </c>
      <c r="C83" s="3" t="s">
        <v>20</v>
      </c>
      <c r="D83" s="3" t="s">
        <v>21</v>
      </c>
      <c r="E83" s="3">
        <v>68133.440000000002</v>
      </c>
      <c r="F83" s="3">
        <v>9459</v>
      </c>
      <c r="G83" s="7">
        <v>0.22</v>
      </c>
      <c r="H83" s="3">
        <v>21</v>
      </c>
      <c r="I83" s="3">
        <v>85</v>
      </c>
      <c r="J83" s="3">
        <v>1.91</v>
      </c>
      <c r="K83" s="3">
        <v>0</v>
      </c>
      <c r="L83" s="3">
        <v>4.2</v>
      </c>
      <c r="M83" s="3">
        <v>779010.94</v>
      </c>
      <c r="N83" s="3">
        <v>106328.09</v>
      </c>
      <c r="O83">
        <f t="shared" si="1"/>
        <v>0</v>
      </c>
    </row>
    <row r="84" spans="1:15">
      <c r="A84" s="3" t="s">
        <v>32</v>
      </c>
      <c r="B84" s="5">
        <v>45717</v>
      </c>
      <c r="C84" s="3" t="s">
        <v>15</v>
      </c>
      <c r="D84" s="3" t="s">
        <v>28</v>
      </c>
      <c r="E84" s="3">
        <v>68077.539999999994</v>
      </c>
      <c r="F84" s="3">
        <v>3360</v>
      </c>
      <c r="G84" s="7">
        <v>0.128</v>
      </c>
      <c r="H84" s="3">
        <v>14</v>
      </c>
      <c r="I84" s="3">
        <v>88.2</v>
      </c>
      <c r="J84" s="3">
        <v>1.24</v>
      </c>
      <c r="K84" s="3">
        <v>1</v>
      </c>
      <c r="L84" s="3">
        <v>4</v>
      </c>
      <c r="M84" s="3">
        <v>657429.18000000005</v>
      </c>
      <c r="N84" s="3">
        <v>88919.74</v>
      </c>
      <c r="O84">
        <f t="shared" si="1"/>
        <v>1</v>
      </c>
    </row>
    <row r="85" spans="1:15">
      <c r="A85" s="3" t="s">
        <v>65</v>
      </c>
      <c r="B85" s="5">
        <v>45717</v>
      </c>
      <c r="C85" s="3" t="s">
        <v>15</v>
      </c>
      <c r="D85" s="3" t="s">
        <v>16</v>
      </c>
      <c r="E85" s="3">
        <v>68040.149999999994</v>
      </c>
      <c r="F85" s="3">
        <v>9826</v>
      </c>
      <c r="G85" s="7">
        <v>0.125</v>
      </c>
      <c r="H85" s="3">
        <v>20</v>
      </c>
      <c r="I85" s="3">
        <v>83.9</v>
      </c>
      <c r="J85" s="3">
        <v>9.1199999999999992</v>
      </c>
      <c r="K85" s="3">
        <v>0</v>
      </c>
      <c r="L85" s="3">
        <v>3.6</v>
      </c>
      <c r="M85" s="3">
        <v>758138.29</v>
      </c>
      <c r="N85" s="3">
        <v>132975.26</v>
      </c>
      <c r="O85">
        <f t="shared" si="1"/>
        <v>1</v>
      </c>
    </row>
    <row r="86" spans="1:15">
      <c r="A86" s="3" t="s">
        <v>19</v>
      </c>
      <c r="B86" s="5">
        <v>45748</v>
      </c>
      <c r="C86" s="3" t="s">
        <v>20</v>
      </c>
      <c r="D86" s="3" t="s">
        <v>21</v>
      </c>
      <c r="E86" s="3">
        <v>67979.88</v>
      </c>
      <c r="F86" s="3">
        <v>11230</v>
      </c>
      <c r="G86" s="7">
        <v>2E-3</v>
      </c>
      <c r="H86" s="3">
        <v>28</v>
      </c>
      <c r="I86" s="3">
        <v>85.3</v>
      </c>
      <c r="J86" s="3">
        <v>7.16</v>
      </c>
      <c r="K86" s="3">
        <v>0</v>
      </c>
      <c r="L86" s="3">
        <v>3.8</v>
      </c>
      <c r="M86" s="3">
        <v>910791.94</v>
      </c>
      <c r="N86" s="3">
        <v>158891.28</v>
      </c>
      <c r="O86">
        <f t="shared" si="1"/>
        <v>0</v>
      </c>
    </row>
    <row r="87" spans="1:15">
      <c r="A87" s="3" t="s">
        <v>88</v>
      </c>
      <c r="B87" s="5">
        <v>45748</v>
      </c>
      <c r="C87" s="3" t="s">
        <v>15</v>
      </c>
      <c r="D87" s="3" t="s">
        <v>18</v>
      </c>
      <c r="E87" s="3">
        <v>67722.289999999994</v>
      </c>
      <c r="F87" s="3">
        <v>7240</v>
      </c>
      <c r="G87" s="7">
        <v>2.5999999999999999E-2</v>
      </c>
      <c r="H87" s="3">
        <v>15</v>
      </c>
      <c r="I87" s="3">
        <v>92.9</v>
      </c>
      <c r="J87" s="3">
        <v>0.28999999999999998</v>
      </c>
      <c r="K87" s="3">
        <v>0</v>
      </c>
      <c r="L87" s="4">
        <v>3.5</v>
      </c>
      <c r="M87" s="3">
        <v>762328.31</v>
      </c>
      <c r="N87" s="3">
        <v>159158.19</v>
      </c>
      <c r="O87">
        <f t="shared" si="1"/>
        <v>1</v>
      </c>
    </row>
    <row r="88" spans="1:15">
      <c r="A88" s="3" t="s">
        <v>66</v>
      </c>
      <c r="B88" s="5">
        <v>45658</v>
      </c>
      <c r="C88" s="3" t="s">
        <v>27</v>
      </c>
      <c r="D88" s="3" t="s">
        <v>21</v>
      </c>
      <c r="E88" s="3">
        <v>67494.09</v>
      </c>
      <c r="F88" s="3">
        <v>12361</v>
      </c>
      <c r="G88" s="7">
        <v>4.5999999999999999E-2</v>
      </c>
      <c r="H88" s="3">
        <v>24</v>
      </c>
      <c r="I88" s="3">
        <v>76.599999999999994</v>
      </c>
      <c r="J88" s="3">
        <v>3.65</v>
      </c>
      <c r="K88" s="3">
        <v>1</v>
      </c>
      <c r="L88" s="3">
        <v>3.7</v>
      </c>
      <c r="M88" s="3">
        <v>887537.75</v>
      </c>
      <c r="N88" s="3">
        <v>160362.92000000001</v>
      </c>
      <c r="O88">
        <f t="shared" si="1"/>
        <v>0</v>
      </c>
    </row>
    <row r="89" spans="1:15">
      <c r="A89" s="3" t="s">
        <v>45</v>
      </c>
      <c r="B89" s="5">
        <v>45689</v>
      </c>
      <c r="C89" s="3" t="s">
        <v>27</v>
      </c>
      <c r="D89" s="3" t="s">
        <v>16</v>
      </c>
      <c r="E89" s="3">
        <v>67439.3</v>
      </c>
      <c r="F89" s="3">
        <v>6477</v>
      </c>
      <c r="G89" s="7">
        <v>0</v>
      </c>
      <c r="H89" s="3">
        <v>16</v>
      </c>
      <c r="I89" s="3">
        <v>90.9</v>
      </c>
      <c r="J89" s="3">
        <v>1.64</v>
      </c>
      <c r="K89" s="3">
        <v>0</v>
      </c>
      <c r="L89" s="3">
        <v>4.5</v>
      </c>
      <c r="M89" s="3">
        <v>753473.55</v>
      </c>
      <c r="N89" s="3">
        <v>151527.22</v>
      </c>
      <c r="O89">
        <f t="shared" si="1"/>
        <v>0</v>
      </c>
    </row>
    <row r="90" spans="1:15">
      <c r="A90" s="3" t="s">
        <v>77</v>
      </c>
      <c r="B90" s="5">
        <v>45717</v>
      </c>
      <c r="C90" s="3" t="s">
        <v>15</v>
      </c>
      <c r="D90" s="3" t="s">
        <v>18</v>
      </c>
      <c r="E90" s="3">
        <v>66962.740000000005</v>
      </c>
      <c r="F90" s="3">
        <v>7880</v>
      </c>
      <c r="G90" s="7">
        <v>0.11600000000000001</v>
      </c>
      <c r="H90" s="3">
        <v>19</v>
      </c>
      <c r="I90" s="3">
        <v>90.4</v>
      </c>
      <c r="J90" s="3">
        <v>4.5</v>
      </c>
      <c r="K90" s="3">
        <v>0</v>
      </c>
      <c r="L90" s="3">
        <v>3.3</v>
      </c>
      <c r="M90" s="3">
        <v>732667.92</v>
      </c>
      <c r="N90" s="3">
        <v>128654.46</v>
      </c>
      <c r="O90">
        <f t="shared" si="1"/>
        <v>1</v>
      </c>
    </row>
    <row r="91" spans="1:15">
      <c r="A91" s="3" t="s">
        <v>62</v>
      </c>
      <c r="B91" s="5">
        <v>45748</v>
      </c>
      <c r="C91" s="3" t="s">
        <v>24</v>
      </c>
      <c r="D91" s="3" t="s">
        <v>18</v>
      </c>
      <c r="E91" s="3">
        <v>66870.62</v>
      </c>
      <c r="F91" s="3">
        <v>6055</v>
      </c>
      <c r="G91" s="7">
        <v>7.4999999999999997E-2</v>
      </c>
      <c r="H91" s="3">
        <v>19</v>
      </c>
      <c r="I91" s="3">
        <v>93.8</v>
      </c>
      <c r="J91" s="3">
        <v>0.54</v>
      </c>
      <c r="K91" s="3">
        <v>0</v>
      </c>
      <c r="L91" s="3">
        <v>4.3</v>
      </c>
      <c r="M91" s="3">
        <v>692008.64</v>
      </c>
      <c r="N91" s="3">
        <v>116337.87</v>
      </c>
      <c r="O91">
        <f t="shared" si="1"/>
        <v>0</v>
      </c>
    </row>
    <row r="92" spans="1:15">
      <c r="A92" s="3" t="s">
        <v>100</v>
      </c>
      <c r="B92" s="5">
        <v>45748</v>
      </c>
      <c r="C92" s="3" t="s">
        <v>20</v>
      </c>
      <c r="D92" s="3" t="s">
        <v>16</v>
      </c>
      <c r="E92" s="3">
        <v>66456.28</v>
      </c>
      <c r="F92" s="3">
        <v>9967</v>
      </c>
      <c r="G92" s="7">
        <v>0.108</v>
      </c>
      <c r="H92" s="3">
        <v>20</v>
      </c>
      <c r="I92" s="3">
        <v>94.7</v>
      </c>
      <c r="J92" s="3">
        <v>4.4800000000000004</v>
      </c>
      <c r="K92" s="3">
        <v>0</v>
      </c>
      <c r="L92" s="3">
        <v>4.2</v>
      </c>
      <c r="M92" s="3">
        <v>844710.67</v>
      </c>
      <c r="N92" s="3">
        <v>137140.18</v>
      </c>
      <c r="O92">
        <f t="shared" si="1"/>
        <v>0</v>
      </c>
    </row>
    <row r="93" spans="1:15">
      <c r="A93" s="3" t="s">
        <v>54</v>
      </c>
      <c r="B93" s="5">
        <v>45748</v>
      </c>
      <c r="C93" s="3" t="s">
        <v>15</v>
      </c>
      <c r="D93" s="3" t="s">
        <v>18</v>
      </c>
      <c r="E93" s="3">
        <v>66455.8</v>
      </c>
      <c r="F93" s="3">
        <v>10836</v>
      </c>
      <c r="G93" s="7">
        <v>8.8999999999999996E-2</v>
      </c>
      <c r="H93" s="3">
        <v>25</v>
      </c>
      <c r="I93" s="3">
        <v>85</v>
      </c>
      <c r="J93" s="3">
        <v>9.77</v>
      </c>
      <c r="K93" s="3">
        <v>0</v>
      </c>
      <c r="L93" s="3">
        <v>4.5</v>
      </c>
      <c r="M93" s="3">
        <v>811452.72</v>
      </c>
      <c r="N93" s="3">
        <v>131325.67000000001</v>
      </c>
      <c r="O93">
        <f t="shared" si="1"/>
        <v>1</v>
      </c>
    </row>
    <row r="94" spans="1:15">
      <c r="A94" s="3" t="s">
        <v>54</v>
      </c>
      <c r="B94" s="5">
        <v>45658</v>
      </c>
      <c r="C94" s="3" t="s">
        <v>15</v>
      </c>
      <c r="D94" s="3" t="s">
        <v>18</v>
      </c>
      <c r="E94" s="3">
        <v>66250.53</v>
      </c>
      <c r="F94" s="3">
        <v>10618</v>
      </c>
      <c r="G94" s="7">
        <v>0.14199999999999999</v>
      </c>
      <c r="H94" s="3">
        <v>27</v>
      </c>
      <c r="I94" s="3">
        <v>88.3</v>
      </c>
      <c r="J94" s="3">
        <v>1.1000000000000001</v>
      </c>
      <c r="K94" s="3">
        <v>1</v>
      </c>
      <c r="L94" s="3">
        <v>4.4000000000000004</v>
      </c>
      <c r="M94" s="3">
        <v>849018.3</v>
      </c>
      <c r="N94" s="3">
        <v>149035.13</v>
      </c>
      <c r="O94">
        <f t="shared" si="1"/>
        <v>1</v>
      </c>
    </row>
    <row r="95" spans="1:15">
      <c r="A95" s="3" t="s">
        <v>92</v>
      </c>
      <c r="B95" s="5">
        <v>45717</v>
      </c>
      <c r="C95" s="3" t="s">
        <v>24</v>
      </c>
      <c r="D95" s="3" t="s">
        <v>18</v>
      </c>
      <c r="E95" s="3">
        <v>66104.19</v>
      </c>
      <c r="F95" s="3">
        <v>5745</v>
      </c>
      <c r="G95" s="7">
        <v>7.0000000000000007E-2</v>
      </c>
      <c r="H95" s="3">
        <v>17</v>
      </c>
      <c r="I95" s="3">
        <v>95.8</v>
      </c>
      <c r="J95" s="3">
        <v>3.15</v>
      </c>
      <c r="K95" s="3">
        <v>0</v>
      </c>
      <c r="L95" s="3">
        <v>4</v>
      </c>
      <c r="M95" s="3">
        <v>714083.68</v>
      </c>
      <c r="N95" s="3">
        <v>127231.74</v>
      </c>
      <c r="O95">
        <f t="shared" si="1"/>
        <v>0</v>
      </c>
    </row>
    <row r="96" spans="1:15">
      <c r="A96" s="3" t="s">
        <v>34</v>
      </c>
      <c r="B96" s="5">
        <v>45748</v>
      </c>
      <c r="C96" s="3" t="s">
        <v>20</v>
      </c>
      <c r="D96" s="3" t="s">
        <v>28</v>
      </c>
      <c r="E96" s="3">
        <v>65312.49</v>
      </c>
      <c r="F96" s="3">
        <v>7189</v>
      </c>
      <c r="G96" s="7">
        <v>0.05</v>
      </c>
      <c r="H96" s="3">
        <v>19</v>
      </c>
      <c r="I96" s="3">
        <v>93.7</v>
      </c>
      <c r="J96" s="3">
        <v>7.16</v>
      </c>
      <c r="K96" s="3">
        <v>0</v>
      </c>
      <c r="L96" s="3">
        <v>4.5999999999999996</v>
      </c>
      <c r="M96" s="3">
        <v>773815.14</v>
      </c>
      <c r="N96" s="3">
        <v>133948.39000000001</v>
      </c>
      <c r="O96">
        <f t="shared" si="1"/>
        <v>0</v>
      </c>
    </row>
    <row r="97" spans="1:15">
      <c r="A97" s="3" t="s">
        <v>86</v>
      </c>
      <c r="B97" s="5">
        <v>45658</v>
      </c>
      <c r="C97" s="3" t="s">
        <v>24</v>
      </c>
      <c r="D97" s="3" t="s">
        <v>28</v>
      </c>
      <c r="E97" s="3">
        <v>65272.58</v>
      </c>
      <c r="F97" s="3">
        <v>8165</v>
      </c>
      <c r="G97" s="7">
        <v>5.0999999999999997E-2</v>
      </c>
      <c r="H97" s="3">
        <v>19</v>
      </c>
      <c r="I97" s="3">
        <v>87.8</v>
      </c>
      <c r="J97" s="3">
        <v>1.26</v>
      </c>
      <c r="K97" s="3">
        <v>1</v>
      </c>
      <c r="L97" s="3">
        <v>4.3</v>
      </c>
      <c r="M97" s="3">
        <v>840108.12</v>
      </c>
      <c r="N97" s="3">
        <v>126587.01</v>
      </c>
      <c r="O97">
        <f t="shared" si="1"/>
        <v>0</v>
      </c>
    </row>
    <row r="98" spans="1:15">
      <c r="A98" s="3" t="s">
        <v>65</v>
      </c>
      <c r="B98" s="5">
        <v>45658</v>
      </c>
      <c r="C98" s="3" t="s">
        <v>15</v>
      </c>
      <c r="D98" s="3" t="s">
        <v>16</v>
      </c>
      <c r="E98" s="3">
        <v>65237.79</v>
      </c>
      <c r="F98" s="3">
        <v>8741</v>
      </c>
      <c r="G98" s="7">
        <v>0.157</v>
      </c>
      <c r="H98" s="3">
        <v>20</v>
      </c>
      <c r="I98" s="3">
        <v>94.4</v>
      </c>
      <c r="J98" s="3">
        <v>6.43</v>
      </c>
      <c r="K98" s="3">
        <v>0</v>
      </c>
      <c r="L98" s="3">
        <v>3.3</v>
      </c>
      <c r="M98" s="3">
        <v>780344.18</v>
      </c>
      <c r="N98" s="3">
        <v>118239.09</v>
      </c>
      <c r="O98">
        <f t="shared" si="1"/>
        <v>1</v>
      </c>
    </row>
    <row r="99" spans="1:15">
      <c r="A99" s="3" t="s">
        <v>31</v>
      </c>
      <c r="B99" s="5">
        <v>45748</v>
      </c>
      <c r="C99" s="3" t="s">
        <v>20</v>
      </c>
      <c r="D99" s="3" t="s">
        <v>28</v>
      </c>
      <c r="E99" s="3">
        <v>65012.19</v>
      </c>
      <c r="F99" s="3">
        <v>9598</v>
      </c>
      <c r="G99" s="7">
        <v>8.5000000000000006E-2</v>
      </c>
      <c r="H99" s="3">
        <v>24</v>
      </c>
      <c r="I99" s="3">
        <v>98.3</v>
      </c>
      <c r="J99" s="3">
        <v>0.89</v>
      </c>
      <c r="K99" s="3">
        <v>0</v>
      </c>
      <c r="L99" s="3">
        <v>3.8</v>
      </c>
      <c r="M99" s="3">
        <v>828623.85</v>
      </c>
      <c r="N99" s="3">
        <v>167320.51999999999</v>
      </c>
      <c r="O99">
        <f t="shared" si="1"/>
        <v>0</v>
      </c>
    </row>
    <row r="100" spans="1:15">
      <c r="A100" s="3" t="s">
        <v>32</v>
      </c>
      <c r="B100" s="5">
        <v>45748</v>
      </c>
      <c r="C100" s="3" t="s">
        <v>15</v>
      </c>
      <c r="D100" s="3" t="s">
        <v>28</v>
      </c>
      <c r="E100" s="3">
        <v>64882.14</v>
      </c>
      <c r="F100" s="3">
        <v>3642</v>
      </c>
      <c r="G100" s="7">
        <v>1.9E-2</v>
      </c>
      <c r="H100" s="3">
        <v>13</v>
      </c>
      <c r="I100" s="3">
        <v>87.8</v>
      </c>
      <c r="J100" s="4">
        <v>4.5199999999999996</v>
      </c>
      <c r="K100" s="3">
        <v>0</v>
      </c>
      <c r="L100" s="3">
        <v>4.2</v>
      </c>
      <c r="M100" s="3">
        <v>605178</v>
      </c>
      <c r="N100" s="3">
        <v>106958.74</v>
      </c>
      <c r="O100">
        <f t="shared" si="1"/>
        <v>1</v>
      </c>
    </row>
    <row r="101" spans="1:15">
      <c r="A101" s="3" t="s">
        <v>17</v>
      </c>
      <c r="B101" s="5">
        <v>45689</v>
      </c>
      <c r="C101" s="3" t="s">
        <v>15</v>
      </c>
      <c r="D101" s="3" t="s">
        <v>18</v>
      </c>
      <c r="E101" s="3">
        <v>64811.21</v>
      </c>
      <c r="F101" s="3">
        <v>9792</v>
      </c>
      <c r="G101" s="7">
        <v>0.112</v>
      </c>
      <c r="H101" s="3">
        <v>20</v>
      </c>
      <c r="I101" s="3">
        <v>84.2</v>
      </c>
      <c r="J101" s="3">
        <v>2.88</v>
      </c>
      <c r="K101" s="3">
        <v>0</v>
      </c>
      <c r="L101" s="3">
        <v>4.2</v>
      </c>
      <c r="M101" s="3">
        <v>761835.34</v>
      </c>
      <c r="N101" s="3">
        <v>149602.23000000001</v>
      </c>
      <c r="O101">
        <f t="shared" si="1"/>
        <v>1</v>
      </c>
    </row>
    <row r="102" spans="1:15">
      <c r="A102" s="3" t="s">
        <v>60</v>
      </c>
      <c r="B102" s="5">
        <v>45689</v>
      </c>
      <c r="C102" s="3" t="s">
        <v>15</v>
      </c>
      <c r="D102" s="3" t="s">
        <v>18</v>
      </c>
      <c r="E102" s="3">
        <v>64374.75</v>
      </c>
      <c r="F102" s="3">
        <v>6740</v>
      </c>
      <c r="G102" s="7">
        <v>0.16900000000000001</v>
      </c>
      <c r="H102" s="3">
        <v>18</v>
      </c>
      <c r="I102" s="3">
        <v>87</v>
      </c>
      <c r="J102" s="3">
        <v>2.09</v>
      </c>
      <c r="K102" s="3">
        <v>0</v>
      </c>
      <c r="L102" s="3">
        <v>4.2</v>
      </c>
      <c r="M102" s="3">
        <v>698492.67</v>
      </c>
      <c r="N102" s="3">
        <v>117319.32</v>
      </c>
      <c r="O102">
        <f t="shared" si="1"/>
        <v>1</v>
      </c>
    </row>
    <row r="103" spans="1:15">
      <c r="A103" s="3" t="s">
        <v>48</v>
      </c>
      <c r="B103" s="5">
        <v>45717</v>
      </c>
      <c r="C103" s="3" t="s">
        <v>27</v>
      </c>
      <c r="D103" s="3" t="s">
        <v>18</v>
      </c>
      <c r="E103" s="3">
        <v>64294.23</v>
      </c>
      <c r="F103" s="3">
        <v>6992</v>
      </c>
      <c r="G103" s="7">
        <v>0.13300000000000001</v>
      </c>
      <c r="H103" s="3">
        <v>14</v>
      </c>
      <c r="I103" s="3">
        <v>94.1</v>
      </c>
      <c r="J103" s="3">
        <v>0.25</v>
      </c>
      <c r="K103" s="3">
        <v>0</v>
      </c>
      <c r="L103" s="3">
        <v>3</v>
      </c>
      <c r="M103" s="3">
        <v>795153.84</v>
      </c>
      <c r="N103" s="3">
        <v>143194.21</v>
      </c>
      <c r="O103">
        <f t="shared" si="1"/>
        <v>0</v>
      </c>
    </row>
    <row r="104" spans="1:15">
      <c r="A104" s="3" t="s">
        <v>72</v>
      </c>
      <c r="B104" s="5">
        <v>45748</v>
      </c>
      <c r="C104" s="3" t="s">
        <v>15</v>
      </c>
      <c r="D104" s="3" t="s">
        <v>21</v>
      </c>
      <c r="E104" s="3">
        <v>64104.28</v>
      </c>
      <c r="F104" s="3">
        <v>6015</v>
      </c>
      <c r="G104" s="7">
        <v>0.127</v>
      </c>
      <c r="H104" s="3">
        <v>15</v>
      </c>
      <c r="I104" s="3">
        <v>88.7</v>
      </c>
      <c r="J104" s="3">
        <v>0.78</v>
      </c>
      <c r="K104" s="3">
        <v>0</v>
      </c>
      <c r="L104" s="3">
        <v>4</v>
      </c>
      <c r="M104" s="3">
        <v>650795.49</v>
      </c>
      <c r="N104" s="3">
        <v>103035.89</v>
      </c>
      <c r="O104">
        <f t="shared" si="1"/>
        <v>1</v>
      </c>
    </row>
    <row r="105" spans="1:15">
      <c r="A105" s="3" t="s">
        <v>97</v>
      </c>
      <c r="B105" s="5">
        <v>45689</v>
      </c>
      <c r="C105" s="3" t="s">
        <v>20</v>
      </c>
      <c r="D105" s="3" t="s">
        <v>28</v>
      </c>
      <c r="E105" s="3">
        <v>63986.98</v>
      </c>
      <c r="F105" s="3">
        <v>7989</v>
      </c>
      <c r="G105" s="7">
        <v>7.3999999999999996E-2</v>
      </c>
      <c r="H105" s="3">
        <v>20</v>
      </c>
      <c r="I105" s="3">
        <v>83.3</v>
      </c>
      <c r="J105" s="3">
        <v>3.6</v>
      </c>
      <c r="K105" s="3">
        <v>0</v>
      </c>
      <c r="L105" s="3">
        <v>3.7</v>
      </c>
      <c r="M105" s="3">
        <v>724346.73</v>
      </c>
      <c r="N105" s="3">
        <v>155013.91</v>
      </c>
      <c r="O105">
        <f t="shared" si="1"/>
        <v>0</v>
      </c>
    </row>
    <row r="106" spans="1:15">
      <c r="A106" s="3" t="s">
        <v>33</v>
      </c>
      <c r="B106" s="5">
        <v>45689</v>
      </c>
      <c r="C106" s="3" t="s">
        <v>27</v>
      </c>
      <c r="D106" s="3" t="s">
        <v>16</v>
      </c>
      <c r="E106" s="3">
        <v>63630.21</v>
      </c>
      <c r="F106" s="3">
        <v>4460</v>
      </c>
      <c r="G106" s="7">
        <v>0.23499999999999999</v>
      </c>
      <c r="H106" s="3">
        <v>14</v>
      </c>
      <c r="I106" s="3">
        <v>98.6</v>
      </c>
      <c r="J106" s="3">
        <v>5.52</v>
      </c>
      <c r="K106" s="3">
        <v>0</v>
      </c>
      <c r="L106" s="3">
        <v>3.5</v>
      </c>
      <c r="M106" s="3">
        <v>599603.4</v>
      </c>
      <c r="N106" s="3">
        <v>112685.12</v>
      </c>
      <c r="O106">
        <f t="shared" si="1"/>
        <v>0</v>
      </c>
    </row>
    <row r="107" spans="1:15">
      <c r="A107" s="3" t="s">
        <v>85</v>
      </c>
      <c r="B107" s="5">
        <v>45689</v>
      </c>
      <c r="C107" s="3" t="s">
        <v>24</v>
      </c>
      <c r="D107" s="3" t="s">
        <v>21</v>
      </c>
      <c r="E107" s="3">
        <v>63582.11</v>
      </c>
      <c r="F107" s="3">
        <v>6856</v>
      </c>
      <c r="G107" s="7">
        <v>7.3999999999999996E-2</v>
      </c>
      <c r="H107" s="3">
        <v>17</v>
      </c>
      <c r="I107" s="3">
        <v>89.5</v>
      </c>
      <c r="J107" s="3">
        <v>5.48</v>
      </c>
      <c r="K107" s="3">
        <v>0</v>
      </c>
      <c r="L107" s="3">
        <v>3.2</v>
      </c>
      <c r="M107" s="3">
        <v>799046.94</v>
      </c>
      <c r="N107" s="3">
        <v>144553.64000000001</v>
      </c>
      <c r="O107">
        <f t="shared" si="1"/>
        <v>0</v>
      </c>
    </row>
    <row r="108" spans="1:15">
      <c r="A108" s="3" t="s">
        <v>74</v>
      </c>
      <c r="B108" s="5">
        <v>45658</v>
      </c>
      <c r="C108" s="3" t="s">
        <v>15</v>
      </c>
      <c r="D108" s="3" t="s">
        <v>18</v>
      </c>
      <c r="E108" s="3">
        <v>63457.19</v>
      </c>
      <c r="F108" s="3">
        <v>10125</v>
      </c>
      <c r="G108" s="7">
        <v>9.7000000000000003E-2</v>
      </c>
      <c r="H108" s="3">
        <v>24</v>
      </c>
      <c r="I108" s="3">
        <v>87</v>
      </c>
      <c r="J108" s="3">
        <v>3.84</v>
      </c>
      <c r="K108" s="3">
        <v>1</v>
      </c>
      <c r="L108" s="3">
        <v>3.7</v>
      </c>
      <c r="M108" s="3">
        <v>810446.53</v>
      </c>
      <c r="N108" s="3">
        <v>200575.34</v>
      </c>
      <c r="O108">
        <f t="shared" si="1"/>
        <v>1</v>
      </c>
    </row>
    <row r="109" spans="1:15">
      <c r="A109" s="3" t="s">
        <v>29</v>
      </c>
      <c r="B109" s="5">
        <v>45689</v>
      </c>
      <c r="C109" s="3" t="s">
        <v>15</v>
      </c>
      <c r="D109" s="3" t="s">
        <v>16</v>
      </c>
      <c r="E109" s="3">
        <v>63176.73</v>
      </c>
      <c r="F109" s="3">
        <v>2390</v>
      </c>
      <c r="G109" s="7">
        <v>0.216</v>
      </c>
      <c r="H109" s="3">
        <v>9</v>
      </c>
      <c r="I109" s="3">
        <v>87.5</v>
      </c>
      <c r="J109" s="3">
        <v>0.31</v>
      </c>
      <c r="K109" s="3">
        <v>0</v>
      </c>
      <c r="L109" s="3">
        <v>3.1</v>
      </c>
      <c r="M109" s="3">
        <v>537383.79</v>
      </c>
      <c r="N109" s="3">
        <v>63773.27</v>
      </c>
      <c r="O109">
        <f t="shared" si="1"/>
        <v>1</v>
      </c>
    </row>
    <row r="110" spans="1:15">
      <c r="A110" s="3" t="s">
        <v>47</v>
      </c>
      <c r="B110" s="5">
        <v>45689</v>
      </c>
      <c r="C110" s="3" t="s">
        <v>15</v>
      </c>
      <c r="D110" s="3" t="s">
        <v>28</v>
      </c>
      <c r="E110" s="3">
        <v>63101.59</v>
      </c>
      <c r="F110" s="3">
        <v>4373</v>
      </c>
      <c r="G110" s="7">
        <v>0.17299999999999999</v>
      </c>
      <c r="H110" s="3">
        <v>14</v>
      </c>
      <c r="I110" s="3">
        <v>90.4</v>
      </c>
      <c r="J110" s="3">
        <v>7.87</v>
      </c>
      <c r="K110" s="3">
        <v>0</v>
      </c>
      <c r="L110" s="3">
        <v>4.7</v>
      </c>
      <c r="M110" s="3">
        <v>586626.93999999994</v>
      </c>
      <c r="N110" s="3">
        <v>86498.55</v>
      </c>
      <c r="O110">
        <f t="shared" si="1"/>
        <v>1</v>
      </c>
    </row>
    <row r="111" spans="1:15">
      <c r="A111" s="3" t="s">
        <v>65</v>
      </c>
      <c r="B111" s="5">
        <v>45748</v>
      </c>
      <c r="C111" s="3" t="s">
        <v>15</v>
      </c>
      <c r="D111" s="3" t="s">
        <v>16</v>
      </c>
      <c r="E111" s="3">
        <v>63043.94</v>
      </c>
      <c r="F111" s="3">
        <v>10402</v>
      </c>
      <c r="G111" s="7">
        <v>0.159</v>
      </c>
      <c r="H111" s="3">
        <v>23</v>
      </c>
      <c r="I111" s="3">
        <v>93.9</v>
      </c>
      <c r="J111" s="3">
        <v>2.71</v>
      </c>
      <c r="K111" s="3">
        <v>0</v>
      </c>
      <c r="L111" s="3">
        <v>3.1</v>
      </c>
      <c r="M111" s="3">
        <v>804264</v>
      </c>
      <c r="N111" s="3">
        <v>167117.91</v>
      </c>
      <c r="O111">
        <f t="shared" si="1"/>
        <v>1</v>
      </c>
    </row>
    <row r="112" spans="1:15">
      <c r="A112" s="3" t="s">
        <v>67</v>
      </c>
      <c r="B112" s="5">
        <v>45717</v>
      </c>
      <c r="C112" s="3" t="s">
        <v>27</v>
      </c>
      <c r="D112" s="3" t="s">
        <v>16</v>
      </c>
      <c r="E112" s="3">
        <v>63010.23</v>
      </c>
      <c r="F112" s="3">
        <v>9812</v>
      </c>
      <c r="G112" s="7">
        <v>0.113</v>
      </c>
      <c r="H112" s="3">
        <v>24</v>
      </c>
      <c r="I112" s="3">
        <v>76.8</v>
      </c>
      <c r="J112" s="3">
        <v>1.02</v>
      </c>
      <c r="K112" s="3">
        <v>1</v>
      </c>
      <c r="L112" s="3">
        <v>3.8</v>
      </c>
      <c r="M112" s="3">
        <v>761077.08</v>
      </c>
      <c r="N112" s="3">
        <v>113605.93</v>
      </c>
      <c r="O112">
        <f t="shared" si="1"/>
        <v>0</v>
      </c>
    </row>
    <row r="113" spans="1:15">
      <c r="A113" s="3" t="s">
        <v>74</v>
      </c>
      <c r="B113" s="5">
        <v>45689</v>
      </c>
      <c r="C113" s="3" t="s">
        <v>15</v>
      </c>
      <c r="D113" s="3" t="s">
        <v>18</v>
      </c>
      <c r="E113" s="3">
        <v>62949.7</v>
      </c>
      <c r="F113" s="3">
        <v>9458</v>
      </c>
      <c r="G113" s="7">
        <v>0.17100000000000001</v>
      </c>
      <c r="H113" s="3">
        <v>19</v>
      </c>
      <c r="I113" s="3">
        <v>84.9</v>
      </c>
      <c r="J113" s="3">
        <v>5.09</v>
      </c>
      <c r="K113" s="3">
        <v>0</v>
      </c>
      <c r="L113" s="3">
        <v>3.3</v>
      </c>
      <c r="M113" s="3">
        <v>691288.19</v>
      </c>
      <c r="N113" s="3">
        <v>159074.14000000001</v>
      </c>
      <c r="O113">
        <f t="shared" si="1"/>
        <v>1</v>
      </c>
    </row>
    <row r="114" spans="1:15">
      <c r="A114" s="3" t="s">
        <v>80</v>
      </c>
      <c r="B114" s="5">
        <v>45717</v>
      </c>
      <c r="C114" s="3" t="s">
        <v>27</v>
      </c>
      <c r="D114" s="3" t="s">
        <v>16</v>
      </c>
      <c r="E114" s="3">
        <v>62582.71</v>
      </c>
      <c r="F114" s="3">
        <v>5479</v>
      </c>
      <c r="G114" s="7">
        <v>4.8000000000000001E-2</v>
      </c>
      <c r="H114" s="3">
        <v>16</v>
      </c>
      <c r="I114" s="3">
        <v>81.2</v>
      </c>
      <c r="J114" s="3">
        <v>1.46</v>
      </c>
      <c r="K114" s="3">
        <v>0</v>
      </c>
      <c r="L114" s="3">
        <v>4.5</v>
      </c>
      <c r="M114" s="3">
        <v>640666.53</v>
      </c>
      <c r="N114" s="3">
        <v>134919.16</v>
      </c>
      <c r="O114">
        <f t="shared" si="1"/>
        <v>0</v>
      </c>
    </row>
    <row r="115" spans="1:15">
      <c r="A115" s="3" t="s">
        <v>100</v>
      </c>
      <c r="B115" s="5">
        <v>45717</v>
      </c>
      <c r="C115" s="3" t="s">
        <v>20</v>
      </c>
      <c r="D115" s="3" t="s">
        <v>16</v>
      </c>
      <c r="E115" s="3">
        <v>62507.16</v>
      </c>
      <c r="F115" s="3">
        <v>6000</v>
      </c>
      <c r="G115" s="7">
        <v>9.0999999999999998E-2</v>
      </c>
      <c r="H115" s="3">
        <v>14</v>
      </c>
      <c r="I115" s="3">
        <v>98.2</v>
      </c>
      <c r="J115" s="3">
        <v>4.38</v>
      </c>
      <c r="K115" s="3">
        <v>1</v>
      </c>
      <c r="L115" s="3">
        <v>3.9</v>
      </c>
      <c r="M115" s="3">
        <v>712375.77</v>
      </c>
      <c r="N115" s="3">
        <v>104171.53</v>
      </c>
      <c r="O115">
        <f t="shared" si="1"/>
        <v>0</v>
      </c>
    </row>
    <row r="116" spans="1:15">
      <c r="A116" s="3" t="s">
        <v>25</v>
      </c>
      <c r="B116" s="5">
        <v>45748</v>
      </c>
      <c r="C116" s="3" t="s">
        <v>20</v>
      </c>
      <c r="D116" s="3" t="s">
        <v>16</v>
      </c>
      <c r="E116" s="3">
        <v>62060.43</v>
      </c>
      <c r="F116" s="3">
        <v>2613</v>
      </c>
      <c r="G116" s="7">
        <v>0.216</v>
      </c>
      <c r="H116" s="3">
        <v>12</v>
      </c>
      <c r="I116" s="3">
        <v>92.1</v>
      </c>
      <c r="J116" s="3">
        <v>1.55</v>
      </c>
      <c r="K116" s="3">
        <v>0</v>
      </c>
      <c r="L116" s="3">
        <v>4.7</v>
      </c>
      <c r="M116" s="3">
        <v>565810.99</v>
      </c>
      <c r="N116" s="3">
        <v>77825.460000000006</v>
      </c>
      <c r="O116">
        <f t="shared" si="1"/>
        <v>0</v>
      </c>
    </row>
    <row r="117" spans="1:15">
      <c r="A117" s="3" t="s">
        <v>64</v>
      </c>
      <c r="B117" s="5">
        <v>45658</v>
      </c>
      <c r="C117" s="3" t="s">
        <v>15</v>
      </c>
      <c r="D117" s="3" t="s">
        <v>16</v>
      </c>
      <c r="E117" s="3">
        <v>62059.18</v>
      </c>
      <c r="F117" s="3">
        <v>9374</v>
      </c>
      <c r="G117" s="7">
        <v>0.13600000000000001</v>
      </c>
      <c r="H117" s="3">
        <v>25</v>
      </c>
      <c r="I117" s="3">
        <v>87.1</v>
      </c>
      <c r="J117" s="3">
        <v>12.55</v>
      </c>
      <c r="K117" s="3">
        <v>0</v>
      </c>
      <c r="L117" s="3">
        <v>4.9000000000000004</v>
      </c>
      <c r="M117" s="3">
        <v>739831.73</v>
      </c>
      <c r="N117" s="3">
        <v>119490.21</v>
      </c>
      <c r="O117">
        <f t="shared" si="1"/>
        <v>1</v>
      </c>
    </row>
    <row r="118" spans="1:15">
      <c r="A118" s="3" t="s">
        <v>89</v>
      </c>
      <c r="B118" s="5">
        <v>45717</v>
      </c>
      <c r="C118" s="3" t="s">
        <v>15</v>
      </c>
      <c r="D118" s="3" t="s">
        <v>28</v>
      </c>
      <c r="E118" s="3">
        <v>61995.3</v>
      </c>
      <c r="F118" s="3">
        <v>10192</v>
      </c>
      <c r="G118" s="7">
        <v>0.19800000000000001</v>
      </c>
      <c r="H118" s="3">
        <v>21</v>
      </c>
      <c r="I118" s="3">
        <v>87.6</v>
      </c>
      <c r="J118" s="3">
        <v>3.63</v>
      </c>
      <c r="K118" s="3">
        <v>1</v>
      </c>
      <c r="L118" s="3">
        <v>3.8</v>
      </c>
      <c r="M118" s="3">
        <v>799756.46</v>
      </c>
      <c r="N118" s="3">
        <v>105052.93</v>
      </c>
      <c r="O118">
        <f t="shared" si="1"/>
        <v>1</v>
      </c>
    </row>
    <row r="119" spans="1:15">
      <c r="A119" s="3" t="s">
        <v>91</v>
      </c>
      <c r="B119" s="5">
        <v>45658</v>
      </c>
      <c r="C119" s="3" t="s">
        <v>24</v>
      </c>
      <c r="D119" s="3" t="s">
        <v>16</v>
      </c>
      <c r="E119" s="3">
        <v>61784.11</v>
      </c>
      <c r="F119" s="3">
        <v>8564</v>
      </c>
      <c r="G119" s="7">
        <v>0.13</v>
      </c>
      <c r="H119" s="3">
        <v>17</v>
      </c>
      <c r="I119" s="3">
        <v>87.4</v>
      </c>
      <c r="J119" s="3">
        <v>18.14</v>
      </c>
      <c r="K119" s="3">
        <v>1</v>
      </c>
      <c r="L119" s="3">
        <v>3.4</v>
      </c>
      <c r="M119" s="3">
        <v>673076.34</v>
      </c>
      <c r="N119" s="3">
        <v>93899.76</v>
      </c>
      <c r="O119">
        <f t="shared" si="1"/>
        <v>0</v>
      </c>
    </row>
    <row r="120" spans="1:15">
      <c r="A120" s="3" t="s">
        <v>80</v>
      </c>
      <c r="B120" s="5">
        <v>45689</v>
      </c>
      <c r="C120" s="3" t="s">
        <v>27</v>
      </c>
      <c r="D120" s="3" t="s">
        <v>16</v>
      </c>
      <c r="E120" s="3">
        <v>61650.79</v>
      </c>
      <c r="F120" s="3">
        <v>5321</v>
      </c>
      <c r="G120" s="7">
        <v>0.126</v>
      </c>
      <c r="H120" s="3">
        <v>17</v>
      </c>
      <c r="I120" s="3">
        <v>89.2</v>
      </c>
      <c r="J120" s="3">
        <v>2.13</v>
      </c>
      <c r="K120" s="3">
        <v>0</v>
      </c>
      <c r="L120" s="3">
        <v>4</v>
      </c>
      <c r="M120" s="3">
        <v>723305.11</v>
      </c>
      <c r="N120" s="3">
        <v>128468.7</v>
      </c>
      <c r="O120">
        <f t="shared" si="1"/>
        <v>0</v>
      </c>
    </row>
    <row r="121" spans="1:15">
      <c r="A121" s="3" t="s">
        <v>53</v>
      </c>
      <c r="B121" s="5">
        <v>45658</v>
      </c>
      <c r="C121" s="3" t="s">
        <v>24</v>
      </c>
      <c r="D121" s="3" t="s">
        <v>18</v>
      </c>
      <c r="E121" s="3">
        <v>61541.21</v>
      </c>
      <c r="F121" s="3">
        <v>10396</v>
      </c>
      <c r="G121" s="7">
        <v>0.123</v>
      </c>
      <c r="H121" s="3">
        <v>25</v>
      </c>
      <c r="I121" s="3">
        <v>88.1</v>
      </c>
      <c r="J121" s="3">
        <v>2.34</v>
      </c>
      <c r="K121" s="3">
        <v>1</v>
      </c>
      <c r="L121" s="3">
        <v>4.8</v>
      </c>
      <c r="M121" s="3">
        <v>914544.17</v>
      </c>
      <c r="N121" s="3">
        <v>79831.73</v>
      </c>
      <c r="O121">
        <f t="shared" si="1"/>
        <v>0</v>
      </c>
    </row>
    <row r="122" spans="1:15">
      <c r="A122" s="3" t="s">
        <v>60</v>
      </c>
      <c r="B122" s="5">
        <v>45717</v>
      </c>
      <c r="C122" s="3" t="s">
        <v>15</v>
      </c>
      <c r="D122" s="3" t="s">
        <v>18</v>
      </c>
      <c r="E122" s="3">
        <v>61433.84</v>
      </c>
      <c r="F122" s="3">
        <v>7745</v>
      </c>
      <c r="G122" s="7">
        <v>0.18</v>
      </c>
      <c r="H122" s="3">
        <v>16</v>
      </c>
      <c r="I122" s="3">
        <v>90.5</v>
      </c>
      <c r="J122" s="3">
        <v>2.2599999999999998</v>
      </c>
      <c r="K122" s="3">
        <v>0</v>
      </c>
      <c r="L122" s="3">
        <v>4.2</v>
      </c>
      <c r="M122" s="3">
        <v>685830.24</v>
      </c>
      <c r="N122" s="3">
        <v>128736.18</v>
      </c>
      <c r="O122">
        <f t="shared" si="1"/>
        <v>1</v>
      </c>
    </row>
    <row r="123" spans="1:15">
      <c r="A123" s="3" t="s">
        <v>50</v>
      </c>
      <c r="B123" s="5">
        <v>45658</v>
      </c>
      <c r="C123" s="3" t="s">
        <v>27</v>
      </c>
      <c r="D123" s="3" t="s">
        <v>28</v>
      </c>
      <c r="E123" s="3">
        <v>61426.04</v>
      </c>
      <c r="F123" s="3">
        <v>8966</v>
      </c>
      <c r="G123" s="7">
        <v>0.17299999999999999</v>
      </c>
      <c r="H123" s="3">
        <v>22</v>
      </c>
      <c r="I123" s="3">
        <v>76.400000000000006</v>
      </c>
      <c r="J123" s="3">
        <v>1.05</v>
      </c>
      <c r="K123" s="3">
        <v>0</v>
      </c>
      <c r="L123" s="3">
        <v>3.1</v>
      </c>
      <c r="M123" s="3">
        <v>778397.97</v>
      </c>
      <c r="N123" s="3">
        <v>120044.41</v>
      </c>
      <c r="O123">
        <f t="shared" si="1"/>
        <v>0</v>
      </c>
    </row>
    <row r="124" spans="1:15">
      <c r="A124" s="3" t="s">
        <v>71</v>
      </c>
      <c r="B124" s="5">
        <v>45748</v>
      </c>
      <c r="C124" s="3" t="s">
        <v>20</v>
      </c>
      <c r="D124" s="3" t="s">
        <v>16</v>
      </c>
      <c r="E124" s="3">
        <v>61391.8</v>
      </c>
      <c r="F124" s="3">
        <v>5575</v>
      </c>
      <c r="G124" s="7">
        <v>0.189</v>
      </c>
      <c r="H124" s="3">
        <v>18</v>
      </c>
      <c r="I124" s="3">
        <v>90</v>
      </c>
      <c r="J124" s="3">
        <v>1.8</v>
      </c>
      <c r="K124" s="3">
        <v>0</v>
      </c>
      <c r="L124" s="3">
        <v>4.8</v>
      </c>
      <c r="M124" s="3">
        <v>735786.64</v>
      </c>
      <c r="N124" s="3">
        <v>126540.66</v>
      </c>
      <c r="O124">
        <f t="shared" si="1"/>
        <v>0</v>
      </c>
    </row>
    <row r="125" spans="1:15">
      <c r="A125" s="3" t="s">
        <v>31</v>
      </c>
      <c r="B125" s="5">
        <v>45689</v>
      </c>
      <c r="C125" s="3" t="s">
        <v>20</v>
      </c>
      <c r="D125" s="3" t="s">
        <v>28</v>
      </c>
      <c r="E125" s="3">
        <v>61245.41</v>
      </c>
      <c r="F125" s="3">
        <v>8156</v>
      </c>
      <c r="G125" s="7">
        <v>0.156</v>
      </c>
      <c r="H125" s="3">
        <v>19</v>
      </c>
      <c r="I125" s="3">
        <v>92.9</v>
      </c>
      <c r="J125" s="3">
        <v>9.0500000000000007</v>
      </c>
      <c r="K125" s="3">
        <v>0</v>
      </c>
      <c r="L125" s="3">
        <v>3.8</v>
      </c>
      <c r="M125" s="3">
        <v>718330.53</v>
      </c>
      <c r="N125" s="3">
        <v>93247.9</v>
      </c>
      <c r="O125">
        <f t="shared" si="1"/>
        <v>0</v>
      </c>
    </row>
    <row r="126" spans="1:15">
      <c r="A126" s="3" t="s">
        <v>46</v>
      </c>
      <c r="B126" s="5">
        <v>45658</v>
      </c>
      <c r="C126" s="3" t="s">
        <v>27</v>
      </c>
      <c r="D126" s="3" t="s">
        <v>28</v>
      </c>
      <c r="E126" s="3">
        <v>61132.07</v>
      </c>
      <c r="F126" s="3">
        <v>6394</v>
      </c>
      <c r="G126" s="7">
        <v>0.16300000000000001</v>
      </c>
      <c r="H126" s="3">
        <v>19</v>
      </c>
      <c r="I126" s="3">
        <v>91</v>
      </c>
      <c r="J126" s="3">
        <v>19.600000000000001</v>
      </c>
      <c r="K126" s="3">
        <v>0</v>
      </c>
      <c r="L126" s="3">
        <v>4.4000000000000004</v>
      </c>
      <c r="M126" s="3">
        <v>691113.62</v>
      </c>
      <c r="N126" s="3">
        <v>135145.44</v>
      </c>
      <c r="O126">
        <f t="shared" si="1"/>
        <v>0</v>
      </c>
    </row>
    <row r="127" spans="1:15">
      <c r="A127" s="3" t="s">
        <v>42</v>
      </c>
      <c r="B127" s="5">
        <v>45658</v>
      </c>
      <c r="C127" s="3" t="s">
        <v>27</v>
      </c>
      <c r="D127" s="3" t="s">
        <v>28</v>
      </c>
      <c r="E127" s="3">
        <v>60881.01</v>
      </c>
      <c r="F127" s="3">
        <v>5410</v>
      </c>
      <c r="G127" s="7">
        <v>0.17899999999999999</v>
      </c>
      <c r="H127" s="3">
        <v>15</v>
      </c>
      <c r="I127" s="3">
        <v>83.9</v>
      </c>
      <c r="J127" s="3">
        <v>5.24</v>
      </c>
      <c r="K127" s="3">
        <v>0</v>
      </c>
      <c r="L127" s="3">
        <v>4.5999999999999996</v>
      </c>
      <c r="M127" s="3">
        <v>621369.57999999996</v>
      </c>
      <c r="N127" s="3">
        <v>85493.64</v>
      </c>
      <c r="O127">
        <f t="shared" si="1"/>
        <v>0</v>
      </c>
    </row>
    <row r="128" spans="1:15">
      <c r="A128" s="3" t="s">
        <v>98</v>
      </c>
      <c r="B128" s="5">
        <v>45748</v>
      </c>
      <c r="C128" s="3" t="s">
        <v>24</v>
      </c>
      <c r="D128" s="3" t="s">
        <v>16</v>
      </c>
      <c r="E128" s="3">
        <v>60684.05</v>
      </c>
      <c r="F128" s="3">
        <v>6399</v>
      </c>
      <c r="G128" s="7">
        <v>7.4999999999999997E-2</v>
      </c>
      <c r="H128" s="3">
        <v>16</v>
      </c>
      <c r="I128" s="3">
        <v>99</v>
      </c>
      <c r="J128" s="3">
        <v>3.82</v>
      </c>
      <c r="K128" s="3">
        <v>0</v>
      </c>
      <c r="L128" s="3">
        <v>3.5</v>
      </c>
      <c r="M128" s="3">
        <v>651164.18000000005</v>
      </c>
      <c r="N128" s="3">
        <v>109466.5</v>
      </c>
      <c r="O128">
        <f t="shared" si="1"/>
        <v>0</v>
      </c>
    </row>
    <row r="129" spans="1:15">
      <c r="A129" s="3" t="s">
        <v>42</v>
      </c>
      <c r="B129" s="5">
        <v>45689</v>
      </c>
      <c r="C129" s="3" t="s">
        <v>27</v>
      </c>
      <c r="D129" s="3" t="s">
        <v>28</v>
      </c>
      <c r="E129" s="3">
        <v>60628.38</v>
      </c>
      <c r="F129" s="3">
        <v>4451</v>
      </c>
      <c r="G129" s="7">
        <v>9.5000000000000001E-2</v>
      </c>
      <c r="H129" s="3">
        <v>10</v>
      </c>
      <c r="I129" s="3">
        <v>89.6</v>
      </c>
      <c r="J129" s="3">
        <v>3.17</v>
      </c>
      <c r="K129" s="3">
        <v>0</v>
      </c>
      <c r="L129" s="3">
        <v>4.5999999999999996</v>
      </c>
      <c r="M129" s="3">
        <v>682208.01</v>
      </c>
      <c r="N129" s="3">
        <v>110318.84</v>
      </c>
      <c r="O129">
        <f t="shared" si="1"/>
        <v>0</v>
      </c>
    </row>
    <row r="130" spans="1:15">
      <c r="A130" s="3" t="s">
        <v>39</v>
      </c>
      <c r="B130" s="5">
        <v>45717</v>
      </c>
      <c r="C130" s="3" t="s">
        <v>15</v>
      </c>
      <c r="D130" s="3" t="s">
        <v>18</v>
      </c>
      <c r="E130" s="3">
        <v>60571.82</v>
      </c>
      <c r="F130" s="3">
        <v>3193</v>
      </c>
      <c r="G130" s="7">
        <v>0.19700000000000001</v>
      </c>
      <c r="H130" s="3">
        <v>7</v>
      </c>
      <c r="I130" s="3">
        <v>99</v>
      </c>
      <c r="J130" s="3">
        <v>1.43</v>
      </c>
      <c r="K130" s="3">
        <v>0</v>
      </c>
      <c r="L130" s="3">
        <v>3.2</v>
      </c>
      <c r="M130" s="3">
        <v>605023.87</v>
      </c>
      <c r="N130" s="3">
        <v>98545.81</v>
      </c>
      <c r="O130">
        <f t="shared" si="1"/>
        <v>1</v>
      </c>
    </row>
    <row r="131" spans="1:15">
      <c r="A131" s="3" t="s">
        <v>58</v>
      </c>
      <c r="B131" s="5">
        <v>45748</v>
      </c>
      <c r="C131" s="3" t="s">
        <v>20</v>
      </c>
      <c r="D131" s="3" t="s">
        <v>16</v>
      </c>
      <c r="E131" s="3">
        <v>60322.400000000001</v>
      </c>
      <c r="F131" s="3">
        <v>3350</v>
      </c>
      <c r="G131" s="7">
        <v>0.108</v>
      </c>
      <c r="H131" s="3">
        <v>12</v>
      </c>
      <c r="I131" s="3">
        <v>89.4</v>
      </c>
      <c r="J131" s="3">
        <v>4.92</v>
      </c>
      <c r="K131" s="3">
        <v>0</v>
      </c>
      <c r="L131" s="3">
        <v>3.4</v>
      </c>
      <c r="M131" s="3">
        <v>570964.84</v>
      </c>
      <c r="N131" s="3">
        <v>81331.070000000007</v>
      </c>
      <c r="O131">
        <f t="shared" ref="O131:O194" si="2">IF(C131="East",1,0)</f>
        <v>0</v>
      </c>
    </row>
    <row r="132" spans="1:15">
      <c r="A132" s="3" t="s">
        <v>93</v>
      </c>
      <c r="B132" s="5">
        <v>45658</v>
      </c>
      <c r="C132" s="3" t="s">
        <v>27</v>
      </c>
      <c r="D132" s="3" t="s">
        <v>16</v>
      </c>
      <c r="E132" s="3">
        <v>60183.06</v>
      </c>
      <c r="F132" s="3">
        <v>5562</v>
      </c>
      <c r="G132" s="7">
        <v>8.9999999999999993E-3</v>
      </c>
      <c r="H132" s="3">
        <v>13</v>
      </c>
      <c r="I132" s="3">
        <v>86.3</v>
      </c>
      <c r="J132" s="3">
        <v>0.2</v>
      </c>
      <c r="K132" s="3">
        <v>1</v>
      </c>
      <c r="L132" s="3">
        <v>4.5</v>
      </c>
      <c r="M132" s="3">
        <v>636775.66</v>
      </c>
      <c r="N132" s="3">
        <v>122636.86</v>
      </c>
      <c r="O132">
        <f t="shared" si="2"/>
        <v>0</v>
      </c>
    </row>
    <row r="133" spans="1:15">
      <c r="A133" s="3" t="s">
        <v>14</v>
      </c>
      <c r="B133" s="5">
        <v>45717</v>
      </c>
      <c r="C133" s="3" t="s">
        <v>15</v>
      </c>
      <c r="D133" s="3" t="s">
        <v>16</v>
      </c>
      <c r="E133" s="3">
        <v>59921.75</v>
      </c>
      <c r="F133" s="3">
        <v>9113</v>
      </c>
      <c r="G133" s="7">
        <v>0.13300000000000001</v>
      </c>
      <c r="H133" s="3">
        <v>20</v>
      </c>
      <c r="I133" s="3">
        <v>88</v>
      </c>
      <c r="J133" s="3">
        <v>12</v>
      </c>
      <c r="K133" s="3">
        <v>0</v>
      </c>
      <c r="L133" s="3">
        <v>3.2</v>
      </c>
      <c r="M133" s="3">
        <v>678722.06</v>
      </c>
      <c r="N133" s="3">
        <v>101883.86</v>
      </c>
      <c r="O133">
        <f t="shared" si="2"/>
        <v>1</v>
      </c>
    </row>
    <row r="134" spans="1:15">
      <c r="A134" s="3" t="s">
        <v>22</v>
      </c>
      <c r="B134" s="5">
        <v>45717</v>
      </c>
      <c r="C134" s="3" t="s">
        <v>15</v>
      </c>
      <c r="D134" s="3" t="s">
        <v>16</v>
      </c>
      <c r="E134" s="3">
        <v>59909.51</v>
      </c>
      <c r="F134" s="3">
        <v>8895</v>
      </c>
      <c r="G134" s="7">
        <v>0.22800000000000001</v>
      </c>
      <c r="H134" s="3">
        <v>23</v>
      </c>
      <c r="I134" s="3">
        <v>88.8</v>
      </c>
      <c r="J134" s="3">
        <v>0.27</v>
      </c>
      <c r="K134" s="3">
        <v>0</v>
      </c>
      <c r="L134" s="3">
        <v>4.3</v>
      </c>
      <c r="M134" s="3">
        <v>746501.09</v>
      </c>
      <c r="N134" s="3">
        <v>136816.72</v>
      </c>
      <c r="O134">
        <f t="shared" si="2"/>
        <v>1</v>
      </c>
    </row>
    <row r="135" spans="1:15">
      <c r="A135" s="3" t="s">
        <v>95</v>
      </c>
      <c r="B135" s="5">
        <v>45717</v>
      </c>
      <c r="C135" s="3" t="s">
        <v>27</v>
      </c>
      <c r="D135" s="3" t="s">
        <v>18</v>
      </c>
      <c r="E135" s="3">
        <v>59825.51</v>
      </c>
      <c r="F135" s="3">
        <v>1231</v>
      </c>
      <c r="G135" s="7">
        <v>0.214</v>
      </c>
      <c r="H135" s="3">
        <v>10</v>
      </c>
      <c r="I135" s="3">
        <v>84.8</v>
      </c>
      <c r="J135" s="3">
        <v>8.9600000000000009</v>
      </c>
      <c r="K135" s="3">
        <v>0</v>
      </c>
      <c r="L135" s="4">
        <v>4.7</v>
      </c>
      <c r="M135" s="3">
        <v>498970.32</v>
      </c>
      <c r="N135" s="3">
        <v>69656.7</v>
      </c>
      <c r="O135">
        <f t="shared" si="2"/>
        <v>0</v>
      </c>
    </row>
    <row r="136" spans="1:15">
      <c r="A136" s="3" t="s">
        <v>36</v>
      </c>
      <c r="B136" s="5">
        <v>45689</v>
      </c>
      <c r="C136" s="3" t="s">
        <v>15</v>
      </c>
      <c r="D136" s="3" t="s">
        <v>21</v>
      </c>
      <c r="E136" s="3">
        <v>59405.68</v>
      </c>
      <c r="F136" s="3">
        <v>2515</v>
      </c>
      <c r="G136" s="7">
        <v>3.9E-2</v>
      </c>
      <c r="H136" s="3">
        <v>12</v>
      </c>
      <c r="I136" s="3">
        <v>76</v>
      </c>
      <c r="J136" s="3">
        <v>5.1100000000000003</v>
      </c>
      <c r="K136" s="3">
        <v>0</v>
      </c>
      <c r="L136" s="3">
        <v>3.7</v>
      </c>
      <c r="M136" s="3">
        <v>500298.48</v>
      </c>
      <c r="N136" s="3">
        <v>73461.320000000007</v>
      </c>
      <c r="O136">
        <f t="shared" si="2"/>
        <v>1</v>
      </c>
    </row>
    <row r="137" spans="1:15">
      <c r="A137" s="3" t="s">
        <v>23</v>
      </c>
      <c r="B137" s="5">
        <v>45689</v>
      </c>
      <c r="C137" s="3" t="s">
        <v>24</v>
      </c>
      <c r="D137" s="3" t="s">
        <v>16</v>
      </c>
      <c r="E137" s="3">
        <v>59117.9</v>
      </c>
      <c r="F137" s="3">
        <v>4263</v>
      </c>
      <c r="G137" s="7">
        <v>0.11899999999999999</v>
      </c>
      <c r="H137" s="3">
        <v>9</v>
      </c>
      <c r="I137" s="3">
        <v>87.6</v>
      </c>
      <c r="J137" s="3">
        <v>4.01</v>
      </c>
      <c r="K137" s="3">
        <v>0</v>
      </c>
      <c r="L137" s="3">
        <v>3.6</v>
      </c>
      <c r="M137" s="3">
        <v>573155.18999999994</v>
      </c>
      <c r="N137" s="3">
        <v>83680.75</v>
      </c>
      <c r="O137">
        <f t="shared" si="2"/>
        <v>0</v>
      </c>
    </row>
    <row r="138" spans="1:15">
      <c r="A138" s="3" t="s">
        <v>81</v>
      </c>
      <c r="B138" s="5">
        <v>45717</v>
      </c>
      <c r="C138" s="3" t="s">
        <v>27</v>
      </c>
      <c r="D138" s="3" t="s">
        <v>28</v>
      </c>
      <c r="E138" s="3">
        <v>59060.05</v>
      </c>
      <c r="F138" s="3">
        <v>9702</v>
      </c>
      <c r="G138" s="7">
        <v>0.20100000000000001</v>
      </c>
      <c r="H138" s="3">
        <v>23</v>
      </c>
      <c r="I138" s="3">
        <v>80.900000000000006</v>
      </c>
      <c r="J138" s="3">
        <v>6.96</v>
      </c>
      <c r="K138" s="3">
        <v>0</v>
      </c>
      <c r="L138" s="4">
        <v>3.2</v>
      </c>
      <c r="M138" s="3">
        <v>761919.25</v>
      </c>
      <c r="N138" s="3">
        <v>111893.06</v>
      </c>
      <c r="O138">
        <f t="shared" si="2"/>
        <v>0</v>
      </c>
    </row>
    <row r="139" spans="1:15">
      <c r="A139" s="3" t="s">
        <v>88</v>
      </c>
      <c r="B139" s="5">
        <v>45658</v>
      </c>
      <c r="C139" s="3" t="s">
        <v>15</v>
      </c>
      <c r="D139" s="3" t="s">
        <v>18</v>
      </c>
      <c r="E139" s="3">
        <v>58981.91</v>
      </c>
      <c r="F139" s="3">
        <v>7324</v>
      </c>
      <c r="G139" s="7">
        <v>9.4E-2</v>
      </c>
      <c r="H139" s="3">
        <v>15</v>
      </c>
      <c r="I139" s="3">
        <v>95.8</v>
      </c>
      <c r="J139" s="3">
        <v>0.5</v>
      </c>
      <c r="K139" s="3">
        <v>0</v>
      </c>
      <c r="L139" s="3">
        <v>3.5</v>
      </c>
      <c r="M139" s="3">
        <v>708985.19</v>
      </c>
      <c r="N139" s="3">
        <v>125368.16</v>
      </c>
      <c r="O139">
        <f t="shared" si="2"/>
        <v>1</v>
      </c>
    </row>
    <row r="140" spans="1:15">
      <c r="A140" s="3" t="s">
        <v>76</v>
      </c>
      <c r="B140" s="5">
        <v>45717</v>
      </c>
      <c r="C140" s="3" t="s">
        <v>20</v>
      </c>
      <c r="D140" s="3" t="s">
        <v>21</v>
      </c>
      <c r="E140" s="3">
        <v>58785.33</v>
      </c>
      <c r="F140" s="3">
        <v>4467</v>
      </c>
      <c r="G140" s="7">
        <v>0.22900000000000001</v>
      </c>
      <c r="H140" s="3">
        <v>14</v>
      </c>
      <c r="I140" s="3">
        <v>90.7</v>
      </c>
      <c r="J140" s="3">
        <v>1.92</v>
      </c>
      <c r="K140" s="3">
        <v>0</v>
      </c>
      <c r="L140" s="3">
        <v>3.7</v>
      </c>
      <c r="M140" s="3">
        <v>673348.56</v>
      </c>
      <c r="N140" s="3">
        <v>69464.59</v>
      </c>
      <c r="O140">
        <f t="shared" si="2"/>
        <v>0</v>
      </c>
    </row>
    <row r="141" spans="1:15">
      <c r="A141" s="3" t="s">
        <v>40</v>
      </c>
      <c r="B141" s="5">
        <v>45748</v>
      </c>
      <c r="C141" s="3" t="s">
        <v>15</v>
      </c>
      <c r="D141" s="3" t="s">
        <v>16</v>
      </c>
      <c r="E141" s="3">
        <v>58749.63</v>
      </c>
      <c r="F141" s="3">
        <v>8252</v>
      </c>
      <c r="G141" s="7">
        <v>0.20300000000000001</v>
      </c>
      <c r="H141" s="3">
        <v>20</v>
      </c>
      <c r="I141" s="3">
        <v>85.2</v>
      </c>
      <c r="J141" s="3">
        <v>3.61</v>
      </c>
      <c r="K141" s="3">
        <v>0</v>
      </c>
      <c r="L141" s="3">
        <v>4.5</v>
      </c>
      <c r="M141" s="3">
        <v>680840.36</v>
      </c>
      <c r="N141" s="3">
        <v>68007.679999999993</v>
      </c>
      <c r="O141">
        <f t="shared" si="2"/>
        <v>1</v>
      </c>
    </row>
    <row r="142" spans="1:15">
      <c r="A142" s="3" t="s">
        <v>87</v>
      </c>
      <c r="B142" s="5">
        <v>45748</v>
      </c>
      <c r="C142" s="3" t="s">
        <v>27</v>
      </c>
      <c r="D142" s="3" t="s">
        <v>18</v>
      </c>
      <c r="E142" s="3">
        <v>58688.26</v>
      </c>
      <c r="F142" s="3">
        <v>4022</v>
      </c>
      <c r="G142" s="7">
        <v>0.217</v>
      </c>
      <c r="H142" s="3">
        <v>12</v>
      </c>
      <c r="I142" s="3">
        <v>93.8</v>
      </c>
      <c r="J142" s="3">
        <v>11.78</v>
      </c>
      <c r="K142" s="3">
        <v>0</v>
      </c>
      <c r="L142" s="3">
        <v>3.7</v>
      </c>
      <c r="M142" s="3">
        <v>636613.23</v>
      </c>
      <c r="N142" s="3">
        <v>78908.350000000006</v>
      </c>
      <c r="O142">
        <f t="shared" si="2"/>
        <v>0</v>
      </c>
    </row>
    <row r="143" spans="1:15">
      <c r="A143" s="3" t="s">
        <v>67</v>
      </c>
      <c r="B143" s="5">
        <v>45748</v>
      </c>
      <c r="C143" s="3" t="s">
        <v>27</v>
      </c>
      <c r="D143" s="3" t="s">
        <v>16</v>
      </c>
      <c r="E143" s="3">
        <v>57948.88</v>
      </c>
      <c r="F143" s="3">
        <v>10741</v>
      </c>
      <c r="G143" s="7">
        <v>7.0000000000000007E-2</v>
      </c>
      <c r="H143" s="3">
        <v>25</v>
      </c>
      <c r="I143" s="3">
        <v>90.1</v>
      </c>
      <c r="J143" s="3">
        <v>4.03</v>
      </c>
      <c r="K143" s="3">
        <v>0</v>
      </c>
      <c r="L143" s="3">
        <v>3.1</v>
      </c>
      <c r="M143" s="3">
        <v>819660.59</v>
      </c>
      <c r="N143" s="3">
        <v>172699.95</v>
      </c>
      <c r="O143">
        <f t="shared" si="2"/>
        <v>0</v>
      </c>
    </row>
    <row r="144" spans="1:15">
      <c r="A144" s="3" t="s">
        <v>48</v>
      </c>
      <c r="B144" s="5">
        <v>45658</v>
      </c>
      <c r="C144" s="3" t="s">
        <v>27</v>
      </c>
      <c r="D144" s="3" t="s">
        <v>18</v>
      </c>
      <c r="E144" s="3">
        <v>57919.07</v>
      </c>
      <c r="F144" s="3">
        <v>7374</v>
      </c>
      <c r="G144" s="7">
        <v>0.10299999999999999</v>
      </c>
      <c r="H144" s="3">
        <v>21</v>
      </c>
      <c r="I144" s="3">
        <v>82.3</v>
      </c>
      <c r="J144" s="3">
        <v>2.87</v>
      </c>
      <c r="K144" s="3">
        <v>0</v>
      </c>
      <c r="L144" s="3">
        <v>2.9</v>
      </c>
      <c r="M144" s="3">
        <v>727227.2</v>
      </c>
      <c r="N144" s="3">
        <v>121292.01</v>
      </c>
      <c r="O144">
        <f t="shared" si="2"/>
        <v>0</v>
      </c>
    </row>
    <row r="145" spans="1:15">
      <c r="A145" s="3" t="s">
        <v>26</v>
      </c>
      <c r="B145" s="5">
        <v>45658</v>
      </c>
      <c r="C145" s="3" t="s">
        <v>27</v>
      </c>
      <c r="D145" s="3" t="s">
        <v>28</v>
      </c>
      <c r="E145" s="3">
        <v>57696.69</v>
      </c>
      <c r="F145" s="3">
        <v>10218</v>
      </c>
      <c r="G145" s="7">
        <v>0.121</v>
      </c>
      <c r="H145" s="3">
        <v>25</v>
      </c>
      <c r="I145" s="3">
        <v>94.8</v>
      </c>
      <c r="J145" s="3">
        <v>2.99</v>
      </c>
      <c r="K145" s="3">
        <v>0</v>
      </c>
      <c r="L145" s="3">
        <v>3.5</v>
      </c>
      <c r="M145" s="3">
        <v>811771.14</v>
      </c>
      <c r="N145" s="3">
        <v>148756.24</v>
      </c>
      <c r="O145">
        <f t="shared" si="2"/>
        <v>0</v>
      </c>
    </row>
    <row r="146" spans="1:15">
      <c r="A146" s="3" t="s">
        <v>83</v>
      </c>
      <c r="B146" s="5">
        <v>45717</v>
      </c>
      <c r="C146" s="3" t="s">
        <v>15</v>
      </c>
      <c r="D146" s="3" t="s">
        <v>18</v>
      </c>
      <c r="E146" s="3">
        <v>57390.04</v>
      </c>
      <c r="F146" s="3">
        <v>7374</v>
      </c>
      <c r="G146" s="7">
        <v>0.21</v>
      </c>
      <c r="H146" s="3">
        <v>21</v>
      </c>
      <c r="I146" s="3">
        <v>91.8</v>
      </c>
      <c r="J146" s="3">
        <v>0.2</v>
      </c>
      <c r="K146" s="3">
        <v>0</v>
      </c>
      <c r="L146" s="3">
        <v>3.1</v>
      </c>
      <c r="M146" s="3">
        <v>679230.86</v>
      </c>
      <c r="N146" s="3">
        <v>106927.58</v>
      </c>
      <c r="O146">
        <f t="shared" si="2"/>
        <v>1</v>
      </c>
    </row>
    <row r="147" spans="1:15">
      <c r="A147" s="3" t="s">
        <v>51</v>
      </c>
      <c r="B147" s="5">
        <v>45689</v>
      </c>
      <c r="C147" s="3" t="s">
        <v>27</v>
      </c>
      <c r="D147" s="3" t="s">
        <v>16</v>
      </c>
      <c r="E147" s="3">
        <v>57360.01</v>
      </c>
      <c r="F147" s="3">
        <v>8434</v>
      </c>
      <c r="G147" s="7">
        <v>0.151</v>
      </c>
      <c r="H147" s="3">
        <v>19</v>
      </c>
      <c r="I147" s="3">
        <v>84.1</v>
      </c>
      <c r="J147" s="3">
        <v>1.56</v>
      </c>
      <c r="K147" s="3">
        <v>0</v>
      </c>
      <c r="L147" s="3">
        <v>4.7</v>
      </c>
      <c r="M147" s="3">
        <v>820519.04</v>
      </c>
      <c r="N147" s="3">
        <v>99035.88</v>
      </c>
      <c r="O147">
        <f t="shared" si="2"/>
        <v>0</v>
      </c>
    </row>
    <row r="148" spans="1:15">
      <c r="A148" s="3" t="s">
        <v>78</v>
      </c>
      <c r="B148" s="5">
        <v>45689</v>
      </c>
      <c r="C148" s="3" t="s">
        <v>15</v>
      </c>
      <c r="D148" s="3" t="s">
        <v>28</v>
      </c>
      <c r="E148" s="3">
        <v>57225.98</v>
      </c>
      <c r="F148" s="3">
        <v>2842</v>
      </c>
      <c r="G148" s="7">
        <v>0.112</v>
      </c>
      <c r="H148" s="3">
        <v>10</v>
      </c>
      <c r="I148" s="3">
        <v>79.5</v>
      </c>
      <c r="J148" s="3">
        <v>5.45</v>
      </c>
      <c r="K148" s="3">
        <v>0</v>
      </c>
      <c r="L148" s="3">
        <v>3.4</v>
      </c>
      <c r="M148" s="3">
        <v>536545.49</v>
      </c>
      <c r="N148" s="3">
        <v>97917.45</v>
      </c>
      <c r="O148">
        <f t="shared" si="2"/>
        <v>1</v>
      </c>
    </row>
    <row r="149" spans="1:15">
      <c r="A149" s="3" t="s">
        <v>68</v>
      </c>
      <c r="B149" s="5">
        <v>45689</v>
      </c>
      <c r="C149" s="3" t="s">
        <v>20</v>
      </c>
      <c r="D149" s="3" t="s">
        <v>18</v>
      </c>
      <c r="E149" s="3">
        <v>57147.88</v>
      </c>
      <c r="F149" s="3">
        <v>5252</v>
      </c>
      <c r="G149" s="7">
        <v>0.161</v>
      </c>
      <c r="H149" s="3">
        <v>15</v>
      </c>
      <c r="I149" s="3">
        <v>95.5</v>
      </c>
      <c r="J149" s="3">
        <v>8.51</v>
      </c>
      <c r="K149" s="3">
        <v>0</v>
      </c>
      <c r="L149" s="3">
        <v>4.4000000000000004</v>
      </c>
      <c r="M149" s="3">
        <v>678311.17</v>
      </c>
      <c r="N149" s="3">
        <v>132029.76000000001</v>
      </c>
      <c r="O149">
        <f t="shared" si="2"/>
        <v>0</v>
      </c>
    </row>
    <row r="150" spans="1:15">
      <c r="A150" s="3" t="s">
        <v>62</v>
      </c>
      <c r="B150" s="5">
        <v>45717</v>
      </c>
      <c r="C150" s="3" t="s">
        <v>24</v>
      </c>
      <c r="D150" s="3" t="s">
        <v>18</v>
      </c>
      <c r="E150" s="3">
        <v>57143.3</v>
      </c>
      <c r="F150" s="3">
        <v>8038</v>
      </c>
      <c r="G150" s="7">
        <v>0.193</v>
      </c>
      <c r="H150" s="3">
        <v>17</v>
      </c>
      <c r="I150" s="3">
        <v>72.599999999999994</v>
      </c>
      <c r="J150" s="3">
        <v>4.55</v>
      </c>
      <c r="K150" s="3">
        <v>0</v>
      </c>
      <c r="L150" s="3">
        <v>4.2</v>
      </c>
      <c r="M150" s="3">
        <v>677096.71</v>
      </c>
      <c r="N150" s="3">
        <v>97174.11</v>
      </c>
      <c r="O150">
        <f t="shared" si="2"/>
        <v>0</v>
      </c>
    </row>
    <row r="151" spans="1:15">
      <c r="A151" s="3" t="s">
        <v>41</v>
      </c>
      <c r="B151" s="5">
        <v>45658</v>
      </c>
      <c r="C151" s="3" t="s">
        <v>24</v>
      </c>
      <c r="D151" s="3" t="s">
        <v>18</v>
      </c>
      <c r="E151" s="3">
        <v>56973.18</v>
      </c>
      <c r="F151" s="3">
        <v>6662</v>
      </c>
      <c r="G151" s="7">
        <v>0.1</v>
      </c>
      <c r="H151" s="3">
        <v>15</v>
      </c>
      <c r="I151" s="3">
        <v>77.7</v>
      </c>
      <c r="J151" s="3">
        <v>7.52</v>
      </c>
      <c r="K151" s="3">
        <v>1</v>
      </c>
      <c r="L151" s="3">
        <v>3.2</v>
      </c>
      <c r="M151" s="3">
        <v>643657.47</v>
      </c>
      <c r="N151" s="3">
        <v>87022.45</v>
      </c>
      <c r="O151">
        <f t="shared" si="2"/>
        <v>0</v>
      </c>
    </row>
    <row r="152" spans="1:15">
      <c r="A152" s="3" t="s">
        <v>61</v>
      </c>
      <c r="B152" s="5">
        <v>45717</v>
      </c>
      <c r="C152" s="3" t="s">
        <v>20</v>
      </c>
      <c r="D152" s="3" t="s">
        <v>28</v>
      </c>
      <c r="E152" s="3">
        <v>56918.16</v>
      </c>
      <c r="F152" s="3">
        <v>7015</v>
      </c>
      <c r="G152" s="7">
        <v>0.158</v>
      </c>
      <c r="H152" s="3">
        <v>18</v>
      </c>
      <c r="I152" s="3">
        <v>74.2</v>
      </c>
      <c r="J152" s="3">
        <v>0.2</v>
      </c>
      <c r="K152" s="3">
        <v>0</v>
      </c>
      <c r="L152" s="3">
        <v>3.4</v>
      </c>
      <c r="M152" s="3">
        <v>724216.07</v>
      </c>
      <c r="N152" s="3">
        <v>100627.56</v>
      </c>
      <c r="O152">
        <f t="shared" si="2"/>
        <v>0</v>
      </c>
    </row>
    <row r="153" spans="1:15">
      <c r="A153" s="3" t="s">
        <v>14</v>
      </c>
      <c r="B153" s="5">
        <v>45748</v>
      </c>
      <c r="C153" s="3" t="s">
        <v>15</v>
      </c>
      <c r="D153" s="3" t="s">
        <v>16</v>
      </c>
      <c r="E153" s="3">
        <v>56856.63</v>
      </c>
      <c r="F153" s="3">
        <v>9431</v>
      </c>
      <c r="G153" s="7">
        <v>0.14199999999999999</v>
      </c>
      <c r="H153" s="3">
        <v>23</v>
      </c>
      <c r="I153" s="3">
        <v>86.9</v>
      </c>
      <c r="J153" s="3">
        <v>4.97</v>
      </c>
      <c r="K153" s="3">
        <v>0</v>
      </c>
      <c r="L153" s="3">
        <v>3.4</v>
      </c>
      <c r="M153" s="3">
        <v>658920.30000000005</v>
      </c>
      <c r="N153" s="3">
        <v>97910.37</v>
      </c>
      <c r="O153">
        <f t="shared" si="2"/>
        <v>1</v>
      </c>
    </row>
    <row r="154" spans="1:15">
      <c r="A154" s="3" t="s">
        <v>94</v>
      </c>
      <c r="B154" s="5">
        <v>45717</v>
      </c>
      <c r="C154" s="3" t="s">
        <v>15</v>
      </c>
      <c r="D154" s="3" t="s">
        <v>16</v>
      </c>
      <c r="E154" s="3">
        <v>56737.3</v>
      </c>
      <c r="F154" s="3">
        <v>8300</v>
      </c>
      <c r="G154" s="7">
        <v>3.2000000000000001E-2</v>
      </c>
      <c r="H154" s="3">
        <v>21</v>
      </c>
      <c r="I154" s="3">
        <v>83.2</v>
      </c>
      <c r="J154" s="3">
        <v>3.44</v>
      </c>
      <c r="K154" s="3">
        <v>1</v>
      </c>
      <c r="L154" s="3">
        <v>4.3</v>
      </c>
      <c r="M154" s="3">
        <v>813316.71</v>
      </c>
      <c r="N154" s="3">
        <v>110077.42</v>
      </c>
      <c r="O154">
        <f t="shared" si="2"/>
        <v>1</v>
      </c>
    </row>
    <row r="155" spans="1:15">
      <c r="A155" s="3" t="s">
        <v>88</v>
      </c>
      <c r="B155" s="5">
        <v>45717</v>
      </c>
      <c r="C155" s="3" t="s">
        <v>15</v>
      </c>
      <c r="D155" s="3" t="s">
        <v>18</v>
      </c>
      <c r="E155" s="3">
        <v>56602.39</v>
      </c>
      <c r="F155" s="3">
        <v>7969</v>
      </c>
      <c r="G155" s="7">
        <v>0.17</v>
      </c>
      <c r="H155" s="3">
        <v>21</v>
      </c>
      <c r="I155" s="3">
        <v>88.3</v>
      </c>
      <c r="J155" s="3">
        <v>2.25</v>
      </c>
      <c r="K155" s="3">
        <v>0</v>
      </c>
      <c r="L155" s="3">
        <v>3.7</v>
      </c>
      <c r="M155" s="3">
        <v>745580.51</v>
      </c>
      <c r="N155" s="3">
        <v>116273.68</v>
      </c>
      <c r="O155">
        <f t="shared" si="2"/>
        <v>1</v>
      </c>
    </row>
    <row r="156" spans="1:15">
      <c r="A156" s="3" t="s">
        <v>53</v>
      </c>
      <c r="B156" s="5">
        <v>45717</v>
      </c>
      <c r="C156" s="3" t="s">
        <v>24</v>
      </c>
      <c r="D156" s="3" t="s">
        <v>18</v>
      </c>
      <c r="E156" s="3">
        <v>56517.9</v>
      </c>
      <c r="F156" s="3">
        <v>9574</v>
      </c>
      <c r="G156" s="7">
        <v>0.20399999999999999</v>
      </c>
      <c r="H156" s="3">
        <v>20</v>
      </c>
      <c r="I156" s="3">
        <v>88.2</v>
      </c>
      <c r="J156" s="3">
        <v>5.37</v>
      </c>
      <c r="K156" s="3">
        <v>1</v>
      </c>
      <c r="L156" s="3">
        <v>4.9000000000000004</v>
      </c>
      <c r="M156" s="3">
        <v>842157.92</v>
      </c>
      <c r="N156" s="3">
        <v>107348.22</v>
      </c>
      <c r="O156">
        <f t="shared" si="2"/>
        <v>0</v>
      </c>
    </row>
    <row r="157" spans="1:15">
      <c r="A157" s="3" t="s">
        <v>73</v>
      </c>
      <c r="B157" s="5">
        <v>45748</v>
      </c>
      <c r="C157" s="3" t="s">
        <v>15</v>
      </c>
      <c r="D157" s="3" t="s">
        <v>28</v>
      </c>
      <c r="E157" s="3">
        <v>56413.83</v>
      </c>
      <c r="F157" s="3">
        <v>8303</v>
      </c>
      <c r="G157" s="7">
        <v>0.11600000000000001</v>
      </c>
      <c r="H157" s="3">
        <v>18</v>
      </c>
      <c r="I157" s="3">
        <v>93.6</v>
      </c>
      <c r="J157" s="3">
        <v>2.7</v>
      </c>
      <c r="K157" s="3">
        <v>0</v>
      </c>
      <c r="L157" s="3">
        <v>3.7</v>
      </c>
      <c r="M157" s="3">
        <v>675917.63</v>
      </c>
      <c r="N157" s="3">
        <v>112564.75</v>
      </c>
      <c r="O157">
        <f t="shared" si="2"/>
        <v>1</v>
      </c>
    </row>
    <row r="158" spans="1:15">
      <c r="A158" s="3" t="s">
        <v>69</v>
      </c>
      <c r="B158" s="5">
        <v>45689</v>
      </c>
      <c r="C158" s="3" t="s">
        <v>15</v>
      </c>
      <c r="D158" s="3" t="s">
        <v>18</v>
      </c>
      <c r="E158" s="3">
        <v>55788.61</v>
      </c>
      <c r="F158" s="3">
        <v>2312</v>
      </c>
      <c r="G158" s="7">
        <v>5.8000000000000003E-2</v>
      </c>
      <c r="H158" s="3">
        <v>10</v>
      </c>
      <c r="I158" s="3">
        <v>91.3</v>
      </c>
      <c r="J158" s="3">
        <v>1.99</v>
      </c>
      <c r="K158" s="3">
        <v>0</v>
      </c>
      <c r="L158" s="3">
        <v>3.8</v>
      </c>
      <c r="M158" s="3">
        <v>550962.93000000005</v>
      </c>
      <c r="N158" s="3">
        <v>97144.58</v>
      </c>
      <c r="O158">
        <f t="shared" si="2"/>
        <v>1</v>
      </c>
    </row>
    <row r="159" spans="1:15">
      <c r="A159" s="3" t="s">
        <v>22</v>
      </c>
      <c r="B159" s="5">
        <v>45689</v>
      </c>
      <c r="C159" s="3" t="s">
        <v>15</v>
      </c>
      <c r="D159" s="3" t="s">
        <v>16</v>
      </c>
      <c r="E159" s="3">
        <v>55716.82</v>
      </c>
      <c r="F159" s="3">
        <v>10054</v>
      </c>
      <c r="G159" s="7">
        <v>0.14599999999999999</v>
      </c>
      <c r="H159" s="3">
        <v>24</v>
      </c>
      <c r="I159" s="3">
        <v>84.9</v>
      </c>
      <c r="J159" s="3">
        <v>1.06</v>
      </c>
      <c r="K159" s="3">
        <v>0</v>
      </c>
      <c r="L159" s="3">
        <v>4.3</v>
      </c>
      <c r="M159" s="3">
        <v>726606.28</v>
      </c>
      <c r="N159" s="3">
        <v>122729.29</v>
      </c>
      <c r="O159">
        <f t="shared" si="2"/>
        <v>1</v>
      </c>
    </row>
    <row r="160" spans="1:15">
      <c r="A160" s="3" t="s">
        <v>96</v>
      </c>
      <c r="B160" s="5">
        <v>45658</v>
      </c>
      <c r="C160" s="3" t="s">
        <v>27</v>
      </c>
      <c r="D160" s="3" t="s">
        <v>18</v>
      </c>
      <c r="E160" s="3">
        <v>55599.56</v>
      </c>
      <c r="F160" s="3">
        <v>5896</v>
      </c>
      <c r="G160" s="7">
        <v>3.5999999999999997E-2</v>
      </c>
      <c r="H160" s="3">
        <v>12</v>
      </c>
      <c r="I160" s="3">
        <v>93.1</v>
      </c>
      <c r="J160" s="3">
        <v>6.13</v>
      </c>
      <c r="K160" s="3">
        <v>0</v>
      </c>
      <c r="L160" s="3">
        <v>3.3</v>
      </c>
      <c r="M160" s="3">
        <v>668459.37</v>
      </c>
      <c r="N160" s="3">
        <v>126435.42</v>
      </c>
      <c r="O160">
        <f t="shared" si="2"/>
        <v>0</v>
      </c>
    </row>
    <row r="161" spans="1:15">
      <c r="A161" s="3" t="s">
        <v>96</v>
      </c>
      <c r="B161" s="5">
        <v>45689</v>
      </c>
      <c r="C161" s="3" t="s">
        <v>27</v>
      </c>
      <c r="D161" s="3" t="s">
        <v>18</v>
      </c>
      <c r="E161" s="3">
        <v>55477.61</v>
      </c>
      <c r="F161" s="3">
        <v>5903</v>
      </c>
      <c r="G161" s="7">
        <v>0.10199999999999999</v>
      </c>
      <c r="H161" s="3">
        <v>14</v>
      </c>
      <c r="I161" s="3">
        <v>96.2</v>
      </c>
      <c r="J161" s="3">
        <v>1.41</v>
      </c>
      <c r="K161" s="3">
        <v>0</v>
      </c>
      <c r="L161" s="3">
        <v>3.3</v>
      </c>
      <c r="M161" s="3">
        <v>763162.45</v>
      </c>
      <c r="N161" s="3">
        <v>162524.04999999999</v>
      </c>
      <c r="O161">
        <f t="shared" si="2"/>
        <v>0</v>
      </c>
    </row>
    <row r="162" spans="1:15">
      <c r="A162" s="3" t="s">
        <v>43</v>
      </c>
      <c r="B162" s="5">
        <v>45658</v>
      </c>
      <c r="C162" s="3" t="s">
        <v>27</v>
      </c>
      <c r="D162" s="3" t="s">
        <v>18</v>
      </c>
      <c r="E162" s="3">
        <v>55388.11</v>
      </c>
      <c r="F162" s="3">
        <v>3091</v>
      </c>
      <c r="G162" s="7">
        <v>0.108</v>
      </c>
      <c r="H162" s="3">
        <v>7</v>
      </c>
      <c r="I162" s="3">
        <v>85.4</v>
      </c>
      <c r="J162" s="3">
        <v>7.34</v>
      </c>
      <c r="K162" s="3">
        <v>0</v>
      </c>
      <c r="L162" s="3">
        <v>4.9000000000000004</v>
      </c>
      <c r="M162" s="3">
        <v>574436.29</v>
      </c>
      <c r="N162" s="3">
        <v>80271.990000000005</v>
      </c>
      <c r="O162">
        <f t="shared" si="2"/>
        <v>0</v>
      </c>
    </row>
    <row r="163" spans="1:15">
      <c r="A163" s="3" t="s">
        <v>93</v>
      </c>
      <c r="B163" s="5">
        <v>45717</v>
      </c>
      <c r="C163" s="3" t="s">
        <v>27</v>
      </c>
      <c r="D163" s="3" t="s">
        <v>16</v>
      </c>
      <c r="E163" s="3">
        <v>55371.97</v>
      </c>
      <c r="F163" s="3">
        <v>4162</v>
      </c>
      <c r="G163" s="7">
        <v>0.183</v>
      </c>
      <c r="H163" s="3">
        <v>11</v>
      </c>
      <c r="I163" s="3">
        <v>92</v>
      </c>
      <c r="J163" s="3">
        <v>0.2</v>
      </c>
      <c r="K163" s="3">
        <v>1</v>
      </c>
      <c r="L163" s="3">
        <v>4.2</v>
      </c>
      <c r="M163" s="3">
        <v>609949</v>
      </c>
      <c r="N163" s="3">
        <v>126789.25</v>
      </c>
      <c r="O163">
        <f t="shared" si="2"/>
        <v>0</v>
      </c>
    </row>
    <row r="164" spans="1:15">
      <c r="A164" s="3" t="s">
        <v>26</v>
      </c>
      <c r="B164" s="5">
        <v>45717</v>
      </c>
      <c r="C164" s="3" t="s">
        <v>27</v>
      </c>
      <c r="D164" s="3" t="s">
        <v>28</v>
      </c>
      <c r="E164" s="3">
        <v>55270.52</v>
      </c>
      <c r="F164" s="3">
        <v>9315</v>
      </c>
      <c r="G164" s="7">
        <v>0.16900000000000001</v>
      </c>
      <c r="H164" s="3">
        <v>23</v>
      </c>
      <c r="I164" s="3">
        <v>91.9</v>
      </c>
      <c r="J164" s="4">
        <v>4.9400000000000004</v>
      </c>
      <c r="K164" s="3">
        <v>0</v>
      </c>
      <c r="L164" s="3">
        <v>4</v>
      </c>
      <c r="M164" s="3">
        <v>783672.82</v>
      </c>
      <c r="N164" s="3">
        <v>112577.14</v>
      </c>
      <c r="O164">
        <f t="shared" si="2"/>
        <v>0</v>
      </c>
    </row>
    <row r="165" spans="1:15">
      <c r="A165" s="3" t="s">
        <v>46</v>
      </c>
      <c r="B165" s="5">
        <v>45748</v>
      </c>
      <c r="C165" s="3" t="s">
        <v>27</v>
      </c>
      <c r="D165" s="3" t="s">
        <v>28</v>
      </c>
      <c r="E165" s="3">
        <v>55101.1</v>
      </c>
      <c r="F165" s="3">
        <v>5281</v>
      </c>
      <c r="G165" s="7">
        <v>0.189</v>
      </c>
      <c r="H165" s="3">
        <v>11</v>
      </c>
      <c r="I165" s="3">
        <v>91</v>
      </c>
      <c r="J165" s="3">
        <v>2.7</v>
      </c>
      <c r="K165" s="3">
        <v>0</v>
      </c>
      <c r="L165" s="3">
        <v>4.4000000000000004</v>
      </c>
      <c r="M165" s="3">
        <v>675177.68</v>
      </c>
      <c r="N165" s="3">
        <v>105628.68</v>
      </c>
      <c r="O165">
        <f t="shared" si="2"/>
        <v>0</v>
      </c>
    </row>
    <row r="166" spans="1:15">
      <c r="A166" s="3" t="s">
        <v>39</v>
      </c>
      <c r="B166" s="5">
        <v>45748</v>
      </c>
      <c r="C166" s="3" t="s">
        <v>15</v>
      </c>
      <c r="D166" s="3" t="s">
        <v>18</v>
      </c>
      <c r="E166" s="3">
        <v>55081.16</v>
      </c>
      <c r="F166" s="3">
        <v>5485</v>
      </c>
      <c r="G166" s="7">
        <v>3.5999999999999997E-2</v>
      </c>
      <c r="H166" s="3">
        <v>12</v>
      </c>
      <c r="I166" s="3">
        <v>88</v>
      </c>
      <c r="J166" s="3">
        <v>4.55</v>
      </c>
      <c r="K166" s="3">
        <v>0</v>
      </c>
      <c r="L166" s="3">
        <v>3.5</v>
      </c>
      <c r="M166" s="3">
        <v>674774.09</v>
      </c>
      <c r="N166" s="3">
        <v>141917.59</v>
      </c>
      <c r="O166">
        <f t="shared" si="2"/>
        <v>1</v>
      </c>
    </row>
    <row r="167" spans="1:15">
      <c r="A167" s="3" t="s">
        <v>51</v>
      </c>
      <c r="B167" s="5">
        <v>45748</v>
      </c>
      <c r="C167" s="3" t="s">
        <v>27</v>
      </c>
      <c r="D167" s="3" t="s">
        <v>16</v>
      </c>
      <c r="E167" s="3">
        <v>54968.98</v>
      </c>
      <c r="F167" s="3">
        <v>7816</v>
      </c>
      <c r="G167" s="7">
        <v>0.23200000000000001</v>
      </c>
      <c r="H167" s="3">
        <v>19</v>
      </c>
      <c r="I167" s="3">
        <v>95.7</v>
      </c>
      <c r="J167" s="3">
        <v>7.85</v>
      </c>
      <c r="K167" s="3">
        <v>0</v>
      </c>
      <c r="L167" s="3">
        <v>4.7</v>
      </c>
      <c r="M167" s="3">
        <v>735480.19</v>
      </c>
      <c r="N167" s="3">
        <v>88342.11</v>
      </c>
      <c r="O167">
        <f t="shared" si="2"/>
        <v>0</v>
      </c>
    </row>
    <row r="168" spans="1:15">
      <c r="A168" s="3" t="s">
        <v>69</v>
      </c>
      <c r="B168" s="5">
        <v>45748</v>
      </c>
      <c r="C168" s="3" t="s">
        <v>15</v>
      </c>
      <c r="D168" s="3" t="s">
        <v>18</v>
      </c>
      <c r="E168" s="3">
        <v>54966.18</v>
      </c>
      <c r="F168" s="3">
        <v>4423</v>
      </c>
      <c r="G168" s="7">
        <v>0.186</v>
      </c>
      <c r="H168" s="3">
        <v>13</v>
      </c>
      <c r="I168" s="3">
        <v>88.7</v>
      </c>
      <c r="J168" s="3">
        <v>0.2</v>
      </c>
      <c r="K168" s="3">
        <v>0</v>
      </c>
      <c r="L168" s="3">
        <v>4.4000000000000004</v>
      </c>
      <c r="M168" s="3">
        <v>554012.06999999995</v>
      </c>
      <c r="N168" s="3">
        <v>81101.62</v>
      </c>
      <c r="O168">
        <f t="shared" si="2"/>
        <v>1</v>
      </c>
    </row>
    <row r="169" spans="1:15">
      <c r="A169" s="3" t="s">
        <v>98</v>
      </c>
      <c r="B169" s="5">
        <v>45658</v>
      </c>
      <c r="C169" s="3" t="s">
        <v>24</v>
      </c>
      <c r="D169" s="3" t="s">
        <v>16</v>
      </c>
      <c r="E169" s="3">
        <v>54948.02</v>
      </c>
      <c r="F169" s="3">
        <v>6534</v>
      </c>
      <c r="G169" s="7">
        <v>0.183</v>
      </c>
      <c r="H169" s="3">
        <v>14</v>
      </c>
      <c r="I169" s="3">
        <v>94.5</v>
      </c>
      <c r="J169" s="3">
        <v>1.56</v>
      </c>
      <c r="K169" s="3">
        <v>0</v>
      </c>
      <c r="L169" s="3">
        <v>4</v>
      </c>
      <c r="M169" s="3">
        <v>727957.48</v>
      </c>
      <c r="N169" s="3">
        <v>74805.23</v>
      </c>
      <c r="O169">
        <f t="shared" si="2"/>
        <v>0</v>
      </c>
    </row>
    <row r="170" spans="1:15">
      <c r="A170" s="3" t="s">
        <v>41</v>
      </c>
      <c r="B170" s="5">
        <v>45689</v>
      </c>
      <c r="C170" s="3" t="s">
        <v>24</v>
      </c>
      <c r="D170" s="3" t="s">
        <v>18</v>
      </c>
      <c r="E170" s="3">
        <v>54872.82</v>
      </c>
      <c r="F170" s="3">
        <v>5962</v>
      </c>
      <c r="G170" s="7">
        <v>6.4000000000000001E-2</v>
      </c>
      <c r="H170" s="3">
        <v>12</v>
      </c>
      <c r="I170" s="3">
        <v>85.4</v>
      </c>
      <c r="J170" s="3">
        <v>2.58</v>
      </c>
      <c r="K170" s="3">
        <v>0</v>
      </c>
      <c r="L170" s="3">
        <v>2.9</v>
      </c>
      <c r="M170" s="3">
        <v>691112.6</v>
      </c>
      <c r="N170" s="3">
        <v>109212.83</v>
      </c>
      <c r="O170">
        <f t="shared" si="2"/>
        <v>0</v>
      </c>
    </row>
    <row r="171" spans="1:15">
      <c r="A171" s="3" t="s">
        <v>30</v>
      </c>
      <c r="B171" s="5">
        <v>45658</v>
      </c>
      <c r="C171" s="3" t="s">
        <v>20</v>
      </c>
      <c r="D171" s="3" t="s">
        <v>16</v>
      </c>
      <c r="E171" s="3">
        <v>54597.83</v>
      </c>
      <c r="F171" s="3">
        <v>9429</v>
      </c>
      <c r="G171" s="7">
        <v>0.188</v>
      </c>
      <c r="H171" s="3">
        <v>21</v>
      </c>
      <c r="I171" s="3">
        <v>83.3</v>
      </c>
      <c r="J171" s="3">
        <v>11.71</v>
      </c>
      <c r="K171" s="3">
        <v>0</v>
      </c>
      <c r="L171" s="3">
        <v>4.2</v>
      </c>
      <c r="M171" s="3">
        <v>641865.03</v>
      </c>
      <c r="N171" s="3">
        <v>81342.58</v>
      </c>
      <c r="O171">
        <f t="shared" si="2"/>
        <v>0</v>
      </c>
    </row>
    <row r="172" spans="1:15">
      <c r="A172" s="3" t="s">
        <v>71</v>
      </c>
      <c r="B172" s="5">
        <v>45717</v>
      </c>
      <c r="C172" s="3" t="s">
        <v>20</v>
      </c>
      <c r="D172" s="3" t="s">
        <v>16</v>
      </c>
      <c r="E172" s="3">
        <v>54479.33</v>
      </c>
      <c r="F172" s="3">
        <v>5012</v>
      </c>
      <c r="G172" s="7">
        <v>0.28399999999999997</v>
      </c>
      <c r="H172" s="3">
        <v>13</v>
      </c>
      <c r="I172" s="3">
        <v>86</v>
      </c>
      <c r="J172" s="3">
        <v>2.2400000000000002</v>
      </c>
      <c r="K172" s="3">
        <v>1</v>
      </c>
      <c r="L172" s="3">
        <v>4.3</v>
      </c>
      <c r="M172" s="3">
        <v>578949.84</v>
      </c>
      <c r="N172" s="3">
        <v>80253.649999999994</v>
      </c>
      <c r="O172">
        <f t="shared" si="2"/>
        <v>0</v>
      </c>
    </row>
    <row r="173" spans="1:15">
      <c r="A173" s="3" t="s">
        <v>99</v>
      </c>
      <c r="B173" s="5">
        <v>45717</v>
      </c>
      <c r="C173" s="3" t="s">
        <v>24</v>
      </c>
      <c r="D173" s="3" t="s">
        <v>18</v>
      </c>
      <c r="E173" s="3">
        <v>54322.94</v>
      </c>
      <c r="F173" s="3">
        <v>5434</v>
      </c>
      <c r="G173" s="7">
        <v>0.2</v>
      </c>
      <c r="H173" s="3">
        <v>13</v>
      </c>
      <c r="I173" s="3">
        <v>85.7</v>
      </c>
      <c r="J173" s="3">
        <v>10.6</v>
      </c>
      <c r="K173" s="3">
        <v>0</v>
      </c>
      <c r="L173" s="3">
        <v>4.2</v>
      </c>
      <c r="M173" s="3">
        <v>621677.30000000005</v>
      </c>
      <c r="N173" s="3">
        <v>105192.52</v>
      </c>
      <c r="O173">
        <f t="shared" si="2"/>
        <v>0</v>
      </c>
    </row>
    <row r="174" spans="1:15">
      <c r="A174" s="3" t="s">
        <v>73</v>
      </c>
      <c r="B174" s="5">
        <v>45689</v>
      </c>
      <c r="C174" s="3" t="s">
        <v>15</v>
      </c>
      <c r="D174" s="3" t="s">
        <v>28</v>
      </c>
      <c r="E174" s="3">
        <v>54300.87</v>
      </c>
      <c r="F174" s="3">
        <v>7875</v>
      </c>
      <c r="G174" s="7">
        <v>0.107</v>
      </c>
      <c r="H174" s="3">
        <v>19</v>
      </c>
      <c r="I174" s="3">
        <v>94.1</v>
      </c>
      <c r="J174" s="3">
        <v>0.95</v>
      </c>
      <c r="K174" s="3">
        <v>0</v>
      </c>
      <c r="L174" s="3">
        <v>3.7</v>
      </c>
      <c r="M174" s="3">
        <v>795464.47</v>
      </c>
      <c r="N174" s="3">
        <v>161150.51999999999</v>
      </c>
      <c r="O174">
        <f t="shared" si="2"/>
        <v>1</v>
      </c>
    </row>
    <row r="175" spans="1:15">
      <c r="A175" s="3" t="s">
        <v>94</v>
      </c>
      <c r="B175" s="5">
        <v>45748</v>
      </c>
      <c r="C175" s="3" t="s">
        <v>15</v>
      </c>
      <c r="D175" s="3" t="s">
        <v>16</v>
      </c>
      <c r="E175" s="3">
        <v>54080.91</v>
      </c>
      <c r="F175" s="3">
        <v>7083</v>
      </c>
      <c r="G175" s="7">
        <v>0</v>
      </c>
      <c r="H175" s="3">
        <v>15</v>
      </c>
      <c r="I175" s="3">
        <v>97</v>
      </c>
      <c r="J175" s="3">
        <v>5.33</v>
      </c>
      <c r="K175" s="3">
        <v>0</v>
      </c>
      <c r="L175" s="3">
        <v>4.0999999999999996</v>
      </c>
      <c r="M175" s="3">
        <v>702068.92</v>
      </c>
      <c r="N175" s="3">
        <v>111266.63</v>
      </c>
      <c r="O175">
        <f t="shared" si="2"/>
        <v>1</v>
      </c>
    </row>
    <row r="176" spans="1:15">
      <c r="A176" s="3" t="s">
        <v>71</v>
      </c>
      <c r="B176" s="5">
        <v>45689</v>
      </c>
      <c r="C176" s="3" t="s">
        <v>20</v>
      </c>
      <c r="D176" s="3" t="s">
        <v>16</v>
      </c>
      <c r="E176" s="3">
        <v>54002.83</v>
      </c>
      <c r="F176" s="3">
        <v>4366</v>
      </c>
      <c r="G176" s="7">
        <v>2.7E-2</v>
      </c>
      <c r="H176" s="3">
        <v>15</v>
      </c>
      <c r="I176" s="3">
        <v>90.6</v>
      </c>
      <c r="J176" s="3">
        <v>12.82</v>
      </c>
      <c r="K176" s="3">
        <v>0</v>
      </c>
      <c r="L176" s="3">
        <v>4.5999999999999996</v>
      </c>
      <c r="M176" s="3">
        <v>574066.61</v>
      </c>
      <c r="N176" s="3">
        <v>124674.67</v>
      </c>
      <c r="O176">
        <f t="shared" si="2"/>
        <v>0</v>
      </c>
    </row>
    <row r="177" spans="1:15">
      <c r="A177" s="3" t="s">
        <v>40</v>
      </c>
      <c r="B177" s="5">
        <v>45689</v>
      </c>
      <c r="C177" s="3" t="s">
        <v>15</v>
      </c>
      <c r="D177" s="3" t="s">
        <v>16</v>
      </c>
      <c r="E177" s="3">
        <v>53762.92</v>
      </c>
      <c r="F177" s="3">
        <v>6821</v>
      </c>
      <c r="G177" s="7">
        <v>6.6000000000000003E-2</v>
      </c>
      <c r="H177" s="3">
        <v>19</v>
      </c>
      <c r="I177" s="3">
        <v>94.6</v>
      </c>
      <c r="J177" s="3">
        <v>7.03</v>
      </c>
      <c r="K177" s="3">
        <v>0</v>
      </c>
      <c r="L177" s="3">
        <v>4.4000000000000004</v>
      </c>
      <c r="M177" s="3">
        <v>630829.93999999994</v>
      </c>
      <c r="N177" s="3">
        <v>117090.02</v>
      </c>
      <c r="O177">
        <f t="shared" si="2"/>
        <v>1</v>
      </c>
    </row>
    <row r="178" spans="1:15">
      <c r="A178" s="3" t="s">
        <v>82</v>
      </c>
      <c r="B178" s="5">
        <v>45748</v>
      </c>
      <c r="C178" s="3" t="s">
        <v>24</v>
      </c>
      <c r="D178" s="3" t="s">
        <v>21</v>
      </c>
      <c r="E178" s="3">
        <v>53546.34</v>
      </c>
      <c r="F178" s="3">
        <v>8004</v>
      </c>
      <c r="G178" s="7">
        <v>0</v>
      </c>
      <c r="H178" s="3">
        <v>21</v>
      </c>
      <c r="I178" s="3">
        <v>95.2</v>
      </c>
      <c r="J178" s="3">
        <v>2.83</v>
      </c>
      <c r="K178" s="3">
        <v>0</v>
      </c>
      <c r="L178" s="3">
        <v>3</v>
      </c>
      <c r="M178" s="3">
        <v>763159.92</v>
      </c>
      <c r="N178" s="3">
        <v>177104.87</v>
      </c>
      <c r="O178">
        <f t="shared" si="2"/>
        <v>0</v>
      </c>
    </row>
    <row r="179" spans="1:15">
      <c r="A179" s="3" t="s">
        <v>77</v>
      </c>
      <c r="B179" s="5">
        <v>45658</v>
      </c>
      <c r="C179" s="3" t="s">
        <v>15</v>
      </c>
      <c r="D179" s="3" t="s">
        <v>18</v>
      </c>
      <c r="E179" s="3">
        <v>53367.73</v>
      </c>
      <c r="F179" s="3">
        <v>7291</v>
      </c>
      <c r="G179" s="7">
        <v>0.14599999999999999</v>
      </c>
      <c r="H179" s="3">
        <v>18</v>
      </c>
      <c r="I179" s="3">
        <v>90.6</v>
      </c>
      <c r="J179" s="3">
        <v>6.34</v>
      </c>
      <c r="K179" s="3">
        <v>1</v>
      </c>
      <c r="L179" s="3">
        <v>3.8</v>
      </c>
      <c r="M179" s="3">
        <v>712219.81</v>
      </c>
      <c r="N179" s="3">
        <v>85906.54</v>
      </c>
      <c r="O179">
        <f t="shared" si="2"/>
        <v>1</v>
      </c>
    </row>
    <row r="180" spans="1:15">
      <c r="A180" s="3" t="s">
        <v>58</v>
      </c>
      <c r="B180" s="5">
        <v>45717</v>
      </c>
      <c r="C180" s="3" t="s">
        <v>20</v>
      </c>
      <c r="D180" s="3" t="s">
        <v>16</v>
      </c>
      <c r="E180" s="3">
        <v>53351.7</v>
      </c>
      <c r="F180" s="3">
        <v>4259</v>
      </c>
      <c r="G180" s="7">
        <v>0.156</v>
      </c>
      <c r="H180" s="3">
        <v>15</v>
      </c>
      <c r="I180" s="3">
        <v>93.7</v>
      </c>
      <c r="J180" s="3">
        <v>6.03</v>
      </c>
      <c r="K180" s="3">
        <v>0</v>
      </c>
      <c r="L180" s="3">
        <v>3.4</v>
      </c>
      <c r="M180" s="3">
        <v>601568.87</v>
      </c>
      <c r="N180" s="3">
        <v>91634.82</v>
      </c>
      <c r="O180">
        <f t="shared" si="2"/>
        <v>0</v>
      </c>
    </row>
    <row r="181" spans="1:15">
      <c r="A181" s="3" t="s">
        <v>47</v>
      </c>
      <c r="B181" s="5">
        <v>45658</v>
      </c>
      <c r="C181" s="3" t="s">
        <v>15</v>
      </c>
      <c r="D181" s="3" t="s">
        <v>28</v>
      </c>
      <c r="E181" s="3">
        <v>53084.76</v>
      </c>
      <c r="F181" s="3">
        <v>3642</v>
      </c>
      <c r="G181" s="7">
        <v>0.15</v>
      </c>
      <c r="H181" s="3">
        <v>12</v>
      </c>
      <c r="I181" s="3">
        <v>91.4</v>
      </c>
      <c r="J181" s="3">
        <v>0.2</v>
      </c>
      <c r="K181" s="3">
        <v>0</v>
      </c>
      <c r="L181" s="3">
        <v>4.4000000000000004</v>
      </c>
      <c r="M181" s="3">
        <v>635181.35</v>
      </c>
      <c r="N181" s="3">
        <v>83341.25</v>
      </c>
      <c r="O181">
        <f t="shared" si="2"/>
        <v>1</v>
      </c>
    </row>
    <row r="182" spans="1:15">
      <c r="A182" s="3" t="s">
        <v>35</v>
      </c>
      <c r="B182" s="5">
        <v>45658</v>
      </c>
      <c r="C182" s="3" t="s">
        <v>27</v>
      </c>
      <c r="D182" s="3" t="s">
        <v>18</v>
      </c>
      <c r="E182" s="3">
        <v>53015.46</v>
      </c>
      <c r="F182" s="3">
        <v>3279</v>
      </c>
      <c r="G182" s="7">
        <v>8.6999999999999994E-2</v>
      </c>
      <c r="H182" s="3">
        <v>9</v>
      </c>
      <c r="I182" s="3">
        <v>84.3</v>
      </c>
      <c r="J182" s="3">
        <v>22.02</v>
      </c>
      <c r="K182" s="3">
        <v>0</v>
      </c>
      <c r="L182" s="3">
        <v>3.9</v>
      </c>
      <c r="M182" s="3">
        <v>463534.25</v>
      </c>
      <c r="N182" s="3">
        <v>81834.539999999994</v>
      </c>
      <c r="O182">
        <f t="shared" si="2"/>
        <v>0</v>
      </c>
    </row>
    <row r="183" spans="1:15">
      <c r="A183" s="3" t="s">
        <v>36</v>
      </c>
      <c r="B183" s="5">
        <v>45748</v>
      </c>
      <c r="C183" s="3" t="s">
        <v>15</v>
      </c>
      <c r="D183" s="3" t="s">
        <v>21</v>
      </c>
      <c r="E183" s="3">
        <v>52952.12</v>
      </c>
      <c r="F183" s="3">
        <v>4377</v>
      </c>
      <c r="G183" s="7">
        <v>9.1999999999999998E-2</v>
      </c>
      <c r="H183" s="3">
        <v>14</v>
      </c>
      <c r="I183" s="3">
        <v>88.6</v>
      </c>
      <c r="J183" s="3">
        <v>13.59</v>
      </c>
      <c r="K183" s="3">
        <v>0</v>
      </c>
      <c r="L183" s="3">
        <v>3.1</v>
      </c>
      <c r="M183" s="3">
        <v>553756.43000000005</v>
      </c>
      <c r="N183" s="3">
        <v>86166.77</v>
      </c>
      <c r="O183">
        <f t="shared" si="2"/>
        <v>1</v>
      </c>
    </row>
    <row r="184" spans="1:15">
      <c r="A184" s="3" t="s">
        <v>97</v>
      </c>
      <c r="B184" s="5">
        <v>45717</v>
      </c>
      <c r="C184" s="3" t="s">
        <v>20</v>
      </c>
      <c r="D184" s="3" t="s">
        <v>28</v>
      </c>
      <c r="E184" s="3">
        <v>52843.75</v>
      </c>
      <c r="F184" s="3">
        <v>8268</v>
      </c>
      <c r="G184" s="7">
        <v>0.13800000000000001</v>
      </c>
      <c r="H184" s="3">
        <v>19</v>
      </c>
      <c r="I184" s="3">
        <v>87.3</v>
      </c>
      <c r="J184" s="3">
        <v>4.3899999999999997</v>
      </c>
      <c r="K184" s="3">
        <v>1</v>
      </c>
      <c r="L184" s="3">
        <v>4.7</v>
      </c>
      <c r="M184" s="3">
        <v>730890.01</v>
      </c>
      <c r="N184" s="3">
        <v>105502.56</v>
      </c>
      <c r="O184">
        <f t="shared" si="2"/>
        <v>0</v>
      </c>
    </row>
    <row r="185" spans="1:15">
      <c r="A185" s="3" t="s">
        <v>49</v>
      </c>
      <c r="B185" s="5">
        <v>45748</v>
      </c>
      <c r="C185" s="3" t="s">
        <v>15</v>
      </c>
      <c r="D185" s="3" t="s">
        <v>28</v>
      </c>
      <c r="E185" s="3">
        <v>52758.01</v>
      </c>
      <c r="F185" s="3">
        <v>4063</v>
      </c>
      <c r="G185" s="7">
        <v>5.7000000000000002E-2</v>
      </c>
      <c r="H185" s="3">
        <v>12</v>
      </c>
      <c r="I185" s="3">
        <v>91.7</v>
      </c>
      <c r="J185" s="3">
        <v>0.92</v>
      </c>
      <c r="K185" s="3">
        <v>0</v>
      </c>
      <c r="L185" s="3">
        <v>3.5</v>
      </c>
      <c r="M185" s="3">
        <v>713611.16</v>
      </c>
      <c r="N185" s="3">
        <v>129717.18</v>
      </c>
      <c r="O185">
        <f t="shared" si="2"/>
        <v>1</v>
      </c>
    </row>
    <row r="186" spans="1:15">
      <c r="A186" s="3" t="s">
        <v>26</v>
      </c>
      <c r="B186" s="5">
        <v>45748</v>
      </c>
      <c r="C186" s="3" t="s">
        <v>27</v>
      </c>
      <c r="D186" s="3" t="s">
        <v>28</v>
      </c>
      <c r="E186" s="3">
        <v>52715.1</v>
      </c>
      <c r="F186" s="3">
        <v>7223</v>
      </c>
      <c r="G186" s="7">
        <v>0.122</v>
      </c>
      <c r="H186" s="3">
        <v>16</v>
      </c>
      <c r="I186" s="3">
        <v>84.2</v>
      </c>
      <c r="J186" s="3">
        <v>16.149999999999999</v>
      </c>
      <c r="K186" s="3">
        <v>0</v>
      </c>
      <c r="L186" s="3">
        <v>3.7</v>
      </c>
      <c r="M186" s="3">
        <v>701641.97</v>
      </c>
      <c r="N186" s="3">
        <v>106111.86</v>
      </c>
      <c r="O186">
        <f t="shared" si="2"/>
        <v>0</v>
      </c>
    </row>
    <row r="187" spans="1:15">
      <c r="A187" s="3" t="s">
        <v>30</v>
      </c>
      <c r="B187" s="5">
        <v>45748</v>
      </c>
      <c r="C187" s="3" t="s">
        <v>20</v>
      </c>
      <c r="D187" s="3" t="s">
        <v>16</v>
      </c>
      <c r="E187" s="3">
        <v>52483.77</v>
      </c>
      <c r="F187" s="3">
        <v>10453</v>
      </c>
      <c r="G187" s="7">
        <v>0.247</v>
      </c>
      <c r="H187" s="3">
        <v>25</v>
      </c>
      <c r="I187" s="3">
        <v>99</v>
      </c>
      <c r="J187" s="3">
        <v>6.31</v>
      </c>
      <c r="K187" s="3">
        <v>0</v>
      </c>
      <c r="L187" s="3">
        <v>3.6</v>
      </c>
      <c r="M187" s="3">
        <v>800979.78</v>
      </c>
      <c r="N187" s="3">
        <v>149242.26999999999</v>
      </c>
      <c r="O187">
        <f t="shared" si="2"/>
        <v>0</v>
      </c>
    </row>
    <row r="188" spans="1:15">
      <c r="A188" s="3" t="s">
        <v>55</v>
      </c>
      <c r="B188" s="5">
        <v>45717</v>
      </c>
      <c r="C188" s="3" t="s">
        <v>20</v>
      </c>
      <c r="D188" s="3" t="s">
        <v>18</v>
      </c>
      <c r="E188" s="3">
        <v>52285.45</v>
      </c>
      <c r="F188" s="3">
        <v>3618</v>
      </c>
      <c r="G188" s="7">
        <v>8.5999999999999993E-2</v>
      </c>
      <c r="H188" s="3">
        <v>11</v>
      </c>
      <c r="I188" s="3">
        <v>95.6</v>
      </c>
      <c r="J188" s="3">
        <v>5.17</v>
      </c>
      <c r="K188" s="3">
        <v>1</v>
      </c>
      <c r="L188" s="3">
        <v>4.4000000000000004</v>
      </c>
      <c r="M188" s="3">
        <v>593247.25</v>
      </c>
      <c r="N188" s="3">
        <v>81240.289999999994</v>
      </c>
      <c r="O188">
        <f t="shared" si="2"/>
        <v>0</v>
      </c>
    </row>
    <row r="189" spans="1:15">
      <c r="A189" s="3" t="s">
        <v>95</v>
      </c>
      <c r="B189" s="5">
        <v>45658</v>
      </c>
      <c r="C189" s="3" t="s">
        <v>27</v>
      </c>
      <c r="D189" s="3" t="s">
        <v>18</v>
      </c>
      <c r="E189" s="3">
        <v>51996.32</v>
      </c>
      <c r="F189" s="3">
        <v>3834</v>
      </c>
      <c r="G189" s="7">
        <v>9.6000000000000002E-2</v>
      </c>
      <c r="H189" s="3">
        <v>8</v>
      </c>
      <c r="I189" s="3">
        <v>86.7</v>
      </c>
      <c r="J189" s="3">
        <v>6.04</v>
      </c>
      <c r="K189" s="3">
        <v>0</v>
      </c>
      <c r="L189" s="3">
        <v>4.5</v>
      </c>
      <c r="M189" s="3">
        <v>546223.69999999995</v>
      </c>
      <c r="N189" s="3">
        <v>100769.17</v>
      </c>
      <c r="O189">
        <f t="shared" si="2"/>
        <v>0</v>
      </c>
    </row>
    <row r="190" spans="1:15">
      <c r="A190" s="3" t="s">
        <v>82</v>
      </c>
      <c r="B190" s="5">
        <v>45689</v>
      </c>
      <c r="C190" s="3" t="s">
        <v>24</v>
      </c>
      <c r="D190" s="3" t="s">
        <v>21</v>
      </c>
      <c r="E190" s="3">
        <v>51781.599999999999</v>
      </c>
      <c r="F190" s="3">
        <v>5648</v>
      </c>
      <c r="G190" s="7">
        <v>5.8999999999999997E-2</v>
      </c>
      <c r="H190" s="3">
        <v>13</v>
      </c>
      <c r="I190" s="3">
        <v>85.5</v>
      </c>
      <c r="J190" s="3">
        <v>4.04</v>
      </c>
      <c r="K190" s="3">
        <v>0</v>
      </c>
      <c r="L190" s="3">
        <v>3.7</v>
      </c>
      <c r="M190" s="3">
        <v>676337.41</v>
      </c>
      <c r="N190" s="3">
        <v>104355.77</v>
      </c>
      <c r="O190">
        <f t="shared" si="2"/>
        <v>0</v>
      </c>
    </row>
    <row r="191" spans="1:15">
      <c r="A191" s="3" t="s">
        <v>59</v>
      </c>
      <c r="B191" s="5">
        <v>45658</v>
      </c>
      <c r="C191" s="3" t="s">
        <v>24</v>
      </c>
      <c r="D191" s="3" t="s">
        <v>28</v>
      </c>
      <c r="E191" s="3">
        <v>51575.68</v>
      </c>
      <c r="F191" s="3">
        <v>5329</v>
      </c>
      <c r="G191" s="7">
        <v>4.7E-2</v>
      </c>
      <c r="H191" s="3">
        <v>17</v>
      </c>
      <c r="I191" s="3">
        <v>88.1</v>
      </c>
      <c r="J191" s="3">
        <v>19.78</v>
      </c>
      <c r="K191" s="3">
        <v>0</v>
      </c>
      <c r="L191" s="3">
        <v>3.8</v>
      </c>
      <c r="M191" s="3">
        <v>614024.91</v>
      </c>
      <c r="N191" s="3">
        <v>84828.93</v>
      </c>
      <c r="O191">
        <f t="shared" si="2"/>
        <v>0</v>
      </c>
    </row>
    <row r="192" spans="1:15">
      <c r="A192" s="3" t="s">
        <v>87</v>
      </c>
      <c r="B192" s="5">
        <v>45717</v>
      </c>
      <c r="C192" s="3" t="s">
        <v>27</v>
      </c>
      <c r="D192" s="3" t="s">
        <v>18</v>
      </c>
      <c r="E192" s="3">
        <v>51450.55</v>
      </c>
      <c r="F192" s="3">
        <v>4902</v>
      </c>
      <c r="G192" s="7">
        <v>8.5999999999999993E-2</v>
      </c>
      <c r="H192" s="3">
        <v>11</v>
      </c>
      <c r="I192" s="3">
        <v>83.7</v>
      </c>
      <c r="J192" s="3">
        <v>6.92</v>
      </c>
      <c r="K192" s="3">
        <v>1</v>
      </c>
      <c r="L192" s="3">
        <v>4.2</v>
      </c>
      <c r="M192" s="3">
        <v>677640.65</v>
      </c>
      <c r="N192" s="3">
        <v>111610.89</v>
      </c>
      <c r="O192">
        <f t="shared" si="2"/>
        <v>0</v>
      </c>
    </row>
    <row r="193" spans="1:15">
      <c r="A193" s="3" t="s">
        <v>57</v>
      </c>
      <c r="B193" s="5">
        <v>45658</v>
      </c>
      <c r="C193" s="3" t="s">
        <v>27</v>
      </c>
      <c r="D193" s="3" t="s">
        <v>18</v>
      </c>
      <c r="E193" s="3">
        <v>51430.31</v>
      </c>
      <c r="F193" s="3">
        <v>6427</v>
      </c>
      <c r="G193" s="7">
        <v>0.23400000000000001</v>
      </c>
      <c r="H193" s="3">
        <v>14</v>
      </c>
      <c r="I193" s="3">
        <v>88.8</v>
      </c>
      <c r="J193" s="3">
        <v>0.77</v>
      </c>
      <c r="K193" s="3">
        <v>0</v>
      </c>
      <c r="L193" s="3">
        <v>4.0999999999999996</v>
      </c>
      <c r="M193" s="3">
        <v>715890.53</v>
      </c>
      <c r="N193" s="3">
        <v>109032.15</v>
      </c>
      <c r="O193">
        <f t="shared" si="2"/>
        <v>0</v>
      </c>
    </row>
    <row r="194" spans="1:15">
      <c r="A194" s="3" t="s">
        <v>38</v>
      </c>
      <c r="B194" s="5">
        <v>45689</v>
      </c>
      <c r="C194" s="3" t="s">
        <v>27</v>
      </c>
      <c r="D194" s="3" t="s">
        <v>18</v>
      </c>
      <c r="E194" s="3">
        <v>51148.69</v>
      </c>
      <c r="F194" s="3">
        <v>7940</v>
      </c>
      <c r="G194" s="7">
        <v>0.156</v>
      </c>
      <c r="H194" s="3">
        <v>18</v>
      </c>
      <c r="I194" s="3">
        <v>93.3</v>
      </c>
      <c r="J194" s="3">
        <v>10.91</v>
      </c>
      <c r="K194" s="3">
        <v>0</v>
      </c>
      <c r="L194" s="3">
        <v>3.6</v>
      </c>
      <c r="M194" s="3">
        <v>717141.55</v>
      </c>
      <c r="N194" s="3">
        <v>134013.60999999999</v>
      </c>
      <c r="O194">
        <f t="shared" si="2"/>
        <v>0</v>
      </c>
    </row>
    <row r="195" spans="1:15">
      <c r="A195" s="3" t="s">
        <v>70</v>
      </c>
      <c r="B195" s="5">
        <v>45689</v>
      </c>
      <c r="C195" s="3" t="s">
        <v>27</v>
      </c>
      <c r="D195" s="3" t="s">
        <v>16</v>
      </c>
      <c r="E195" s="3">
        <v>51133.43</v>
      </c>
      <c r="F195" s="3">
        <v>5150</v>
      </c>
      <c r="G195" s="7">
        <v>0.15</v>
      </c>
      <c r="H195" s="3">
        <v>12</v>
      </c>
      <c r="I195" s="3">
        <v>88.5</v>
      </c>
      <c r="J195" s="3">
        <v>1.54</v>
      </c>
      <c r="K195" s="3">
        <v>0</v>
      </c>
      <c r="L195" s="3">
        <v>3.2</v>
      </c>
      <c r="M195" s="3">
        <v>611924.27</v>
      </c>
      <c r="N195" s="3">
        <v>115488.75</v>
      </c>
      <c r="O195">
        <f t="shared" ref="O195:O258" si="3">IF(C195="East",1,0)</f>
        <v>0</v>
      </c>
    </row>
    <row r="196" spans="1:15">
      <c r="A196" s="3" t="s">
        <v>49</v>
      </c>
      <c r="B196" s="5">
        <v>45717</v>
      </c>
      <c r="C196" s="3" t="s">
        <v>15</v>
      </c>
      <c r="D196" s="3" t="s">
        <v>28</v>
      </c>
      <c r="E196" s="3">
        <v>51056.15</v>
      </c>
      <c r="F196" s="3">
        <v>5686</v>
      </c>
      <c r="G196" s="7">
        <v>8.8999999999999996E-2</v>
      </c>
      <c r="H196" s="3">
        <v>13</v>
      </c>
      <c r="I196" s="3">
        <v>89.9</v>
      </c>
      <c r="J196" s="3">
        <v>1.28</v>
      </c>
      <c r="K196" s="3">
        <v>0</v>
      </c>
      <c r="L196" s="3">
        <v>4.2</v>
      </c>
      <c r="M196" s="3">
        <v>633494.21</v>
      </c>
      <c r="N196" s="3">
        <v>105739.47</v>
      </c>
      <c r="O196">
        <f t="shared" si="3"/>
        <v>1</v>
      </c>
    </row>
    <row r="197" spans="1:15">
      <c r="A197" s="3" t="s">
        <v>58</v>
      </c>
      <c r="B197" s="5">
        <v>45689</v>
      </c>
      <c r="C197" s="3" t="s">
        <v>20</v>
      </c>
      <c r="D197" s="3" t="s">
        <v>16</v>
      </c>
      <c r="E197" s="3">
        <v>50909.27</v>
      </c>
      <c r="F197" s="3">
        <v>3152</v>
      </c>
      <c r="G197" s="7">
        <v>0.06</v>
      </c>
      <c r="H197" s="3">
        <v>13</v>
      </c>
      <c r="I197" s="3">
        <v>93.7</v>
      </c>
      <c r="J197" s="3">
        <v>10.79</v>
      </c>
      <c r="K197" s="3">
        <v>0</v>
      </c>
      <c r="L197" s="4">
        <v>3.5</v>
      </c>
      <c r="M197" s="3">
        <v>537058.32999999996</v>
      </c>
      <c r="N197" s="3">
        <v>93555.71</v>
      </c>
      <c r="O197">
        <f t="shared" si="3"/>
        <v>0</v>
      </c>
    </row>
    <row r="198" spans="1:15">
      <c r="A198" s="3" t="s">
        <v>75</v>
      </c>
      <c r="B198" s="5">
        <v>45658</v>
      </c>
      <c r="C198" s="3" t="s">
        <v>27</v>
      </c>
      <c r="D198" s="3" t="s">
        <v>16</v>
      </c>
      <c r="E198" s="3">
        <v>50887.46</v>
      </c>
      <c r="F198" s="3">
        <v>9505</v>
      </c>
      <c r="G198" s="7">
        <v>9.0999999999999998E-2</v>
      </c>
      <c r="H198" s="3">
        <v>25</v>
      </c>
      <c r="I198" s="3">
        <v>89.7</v>
      </c>
      <c r="J198" s="3">
        <v>2.8</v>
      </c>
      <c r="K198" s="3">
        <v>0</v>
      </c>
      <c r="L198" s="3">
        <v>4.3</v>
      </c>
      <c r="M198" s="3">
        <v>812152.6</v>
      </c>
      <c r="N198" s="3">
        <v>138419.43</v>
      </c>
      <c r="O198">
        <f t="shared" si="3"/>
        <v>0</v>
      </c>
    </row>
    <row r="199" spans="1:15">
      <c r="A199" s="3" t="s">
        <v>64</v>
      </c>
      <c r="B199" s="5">
        <v>45717</v>
      </c>
      <c r="C199" s="3" t="s">
        <v>15</v>
      </c>
      <c r="D199" s="3" t="s">
        <v>16</v>
      </c>
      <c r="E199" s="3">
        <v>50825.08</v>
      </c>
      <c r="F199" s="3">
        <v>8949</v>
      </c>
      <c r="G199" s="7">
        <v>0.157</v>
      </c>
      <c r="H199" s="3">
        <v>21</v>
      </c>
      <c r="I199" s="3">
        <v>84.7</v>
      </c>
      <c r="J199" s="3">
        <v>7.73</v>
      </c>
      <c r="K199" s="3">
        <v>0</v>
      </c>
      <c r="L199" s="3">
        <v>4.9000000000000004</v>
      </c>
      <c r="M199" s="3">
        <v>769702.76</v>
      </c>
      <c r="N199" s="3">
        <v>158697</v>
      </c>
      <c r="O199">
        <f t="shared" si="3"/>
        <v>1</v>
      </c>
    </row>
    <row r="200" spans="1:15">
      <c r="A200" s="3" t="s">
        <v>54</v>
      </c>
      <c r="B200" s="5">
        <v>45717</v>
      </c>
      <c r="C200" s="3" t="s">
        <v>15</v>
      </c>
      <c r="D200" s="3" t="s">
        <v>18</v>
      </c>
      <c r="E200" s="3">
        <v>50735.63</v>
      </c>
      <c r="F200" s="3">
        <v>9619</v>
      </c>
      <c r="G200" s="7">
        <v>0.14399999999999999</v>
      </c>
      <c r="H200" s="3">
        <v>19</v>
      </c>
      <c r="I200" s="3">
        <v>93.8</v>
      </c>
      <c r="J200" s="3">
        <v>5.12</v>
      </c>
      <c r="K200" s="3">
        <v>1</v>
      </c>
      <c r="L200" s="3">
        <v>4.5</v>
      </c>
      <c r="M200" s="3">
        <v>725235.28</v>
      </c>
      <c r="N200" s="3">
        <v>121632.24</v>
      </c>
      <c r="O200">
        <f t="shared" si="3"/>
        <v>1</v>
      </c>
    </row>
    <row r="201" spans="1:15">
      <c r="A201" s="3" t="s">
        <v>90</v>
      </c>
      <c r="B201" s="5">
        <v>45658</v>
      </c>
      <c r="C201" s="3" t="s">
        <v>27</v>
      </c>
      <c r="D201" s="3" t="s">
        <v>18</v>
      </c>
      <c r="E201" s="3">
        <v>50532.17</v>
      </c>
      <c r="F201" s="3">
        <v>5689</v>
      </c>
      <c r="G201" s="7">
        <v>5.1999999999999998E-2</v>
      </c>
      <c r="H201" s="3">
        <v>17</v>
      </c>
      <c r="I201" s="3">
        <v>85.6</v>
      </c>
      <c r="J201" s="3">
        <v>6.23</v>
      </c>
      <c r="K201" s="3">
        <v>0</v>
      </c>
      <c r="L201" s="3">
        <v>3.3</v>
      </c>
      <c r="M201" s="3">
        <v>645039.97</v>
      </c>
      <c r="N201" s="3">
        <v>83093.33</v>
      </c>
      <c r="O201">
        <f t="shared" si="3"/>
        <v>0</v>
      </c>
    </row>
    <row r="202" spans="1:15">
      <c r="A202" s="3" t="s">
        <v>44</v>
      </c>
      <c r="B202" s="5">
        <v>45658</v>
      </c>
      <c r="C202" s="3" t="s">
        <v>24</v>
      </c>
      <c r="D202" s="3" t="s">
        <v>28</v>
      </c>
      <c r="E202" s="3">
        <v>50517.94</v>
      </c>
      <c r="F202" s="3">
        <v>7024</v>
      </c>
      <c r="G202" s="7">
        <v>2.9000000000000001E-2</v>
      </c>
      <c r="H202" s="3">
        <v>18</v>
      </c>
      <c r="I202" s="3">
        <v>79.2</v>
      </c>
      <c r="J202" s="3">
        <v>6.61</v>
      </c>
      <c r="K202" s="3">
        <v>1</v>
      </c>
      <c r="L202" s="3">
        <v>4.0999999999999996</v>
      </c>
      <c r="M202" s="3">
        <v>711213.46</v>
      </c>
      <c r="N202" s="3">
        <v>105863.26</v>
      </c>
      <c r="O202">
        <f t="shared" si="3"/>
        <v>0</v>
      </c>
    </row>
    <row r="203" spans="1:15">
      <c r="A203" s="3" t="s">
        <v>37</v>
      </c>
      <c r="B203" s="5">
        <v>45717</v>
      </c>
      <c r="C203" s="3" t="s">
        <v>24</v>
      </c>
      <c r="D203" s="3" t="s">
        <v>18</v>
      </c>
      <c r="E203" s="3">
        <v>50343.19</v>
      </c>
      <c r="F203" s="3">
        <v>3845</v>
      </c>
      <c r="G203" s="7">
        <v>0.113</v>
      </c>
      <c r="H203" s="3">
        <v>9</v>
      </c>
      <c r="I203" s="3">
        <v>88.7</v>
      </c>
      <c r="J203" s="3">
        <v>5.15</v>
      </c>
      <c r="K203" s="3">
        <v>0</v>
      </c>
      <c r="L203" s="3">
        <v>3.3</v>
      </c>
      <c r="M203" s="3">
        <v>572011.19999999995</v>
      </c>
      <c r="N203" s="3">
        <v>101409.68</v>
      </c>
      <c r="O203">
        <f t="shared" si="3"/>
        <v>0</v>
      </c>
    </row>
    <row r="204" spans="1:15">
      <c r="A204" s="3" t="s">
        <v>57</v>
      </c>
      <c r="B204" s="5">
        <v>45748</v>
      </c>
      <c r="C204" s="3" t="s">
        <v>27</v>
      </c>
      <c r="D204" s="3" t="s">
        <v>18</v>
      </c>
      <c r="E204" s="3">
        <v>50198.12</v>
      </c>
      <c r="F204" s="3">
        <v>6089</v>
      </c>
      <c r="G204" s="7">
        <v>0.182</v>
      </c>
      <c r="H204" s="3">
        <v>19</v>
      </c>
      <c r="I204" s="3">
        <v>94</v>
      </c>
      <c r="J204" s="3">
        <v>9.6999999999999993</v>
      </c>
      <c r="K204" s="3">
        <v>0</v>
      </c>
      <c r="L204" s="3">
        <v>3.9</v>
      </c>
      <c r="M204" s="3">
        <v>695098.51</v>
      </c>
      <c r="N204" s="3">
        <v>108192.75</v>
      </c>
      <c r="O204">
        <f t="shared" si="3"/>
        <v>0</v>
      </c>
    </row>
    <row r="205" spans="1:15">
      <c r="A205" s="3" t="s">
        <v>33</v>
      </c>
      <c r="B205" s="5">
        <v>45717</v>
      </c>
      <c r="C205" s="3" t="s">
        <v>27</v>
      </c>
      <c r="D205" s="3" t="s">
        <v>16</v>
      </c>
      <c r="E205" s="3">
        <v>50043.65</v>
      </c>
      <c r="F205" s="3">
        <v>3804</v>
      </c>
      <c r="G205" s="7">
        <v>0.113</v>
      </c>
      <c r="H205" s="3">
        <v>11</v>
      </c>
      <c r="I205" s="3">
        <v>90.9</v>
      </c>
      <c r="J205" s="3">
        <v>2.7</v>
      </c>
      <c r="K205" s="3">
        <v>1</v>
      </c>
      <c r="L205" s="3">
        <v>3.2</v>
      </c>
      <c r="M205" s="3">
        <v>614800.09</v>
      </c>
      <c r="N205" s="3">
        <v>100044.2</v>
      </c>
      <c r="O205">
        <f t="shared" si="3"/>
        <v>0</v>
      </c>
    </row>
    <row r="206" spans="1:15">
      <c r="A206" s="3" t="s">
        <v>34</v>
      </c>
      <c r="B206" s="5">
        <v>45689</v>
      </c>
      <c r="C206" s="3" t="s">
        <v>20</v>
      </c>
      <c r="D206" s="3" t="s">
        <v>28</v>
      </c>
      <c r="E206" s="3">
        <v>49710.29</v>
      </c>
      <c r="F206" s="3">
        <v>5559</v>
      </c>
      <c r="G206" s="7">
        <v>0.218</v>
      </c>
      <c r="H206" s="3">
        <v>14</v>
      </c>
      <c r="I206" s="3">
        <v>71</v>
      </c>
      <c r="J206" s="3">
        <v>9.11</v>
      </c>
      <c r="K206" s="3">
        <v>0</v>
      </c>
      <c r="L206" s="3">
        <v>4.5999999999999996</v>
      </c>
      <c r="M206" s="3">
        <v>603297.56999999995</v>
      </c>
      <c r="N206" s="3">
        <v>60592.26</v>
      </c>
      <c r="O206">
        <f t="shared" si="3"/>
        <v>0</v>
      </c>
    </row>
    <row r="207" spans="1:15">
      <c r="A207" s="3" t="s">
        <v>74</v>
      </c>
      <c r="B207" s="5">
        <v>45748</v>
      </c>
      <c r="C207" s="3" t="s">
        <v>15</v>
      </c>
      <c r="D207" s="3" t="s">
        <v>18</v>
      </c>
      <c r="E207" s="3">
        <v>49405.75</v>
      </c>
      <c r="F207" s="3">
        <v>9752</v>
      </c>
      <c r="G207" s="7">
        <v>9.2999999999999999E-2</v>
      </c>
      <c r="H207" s="3">
        <v>21</v>
      </c>
      <c r="I207" s="3">
        <v>87</v>
      </c>
      <c r="J207" s="3">
        <v>12.28</v>
      </c>
      <c r="K207" s="3">
        <v>0</v>
      </c>
      <c r="L207" s="3">
        <v>4.0999999999999996</v>
      </c>
      <c r="M207" s="3">
        <v>761963.23</v>
      </c>
      <c r="N207" s="3">
        <v>150113.60999999999</v>
      </c>
      <c r="O207">
        <f t="shared" si="3"/>
        <v>1</v>
      </c>
    </row>
    <row r="208" spans="1:15">
      <c r="A208" s="3" t="s">
        <v>23</v>
      </c>
      <c r="B208" s="5">
        <v>45658</v>
      </c>
      <c r="C208" s="3" t="s">
        <v>24</v>
      </c>
      <c r="D208" s="3" t="s">
        <v>16</v>
      </c>
      <c r="E208" s="3">
        <v>48804.22</v>
      </c>
      <c r="F208" s="3">
        <v>7057</v>
      </c>
      <c r="G208" s="7">
        <v>5.0000000000000001E-3</v>
      </c>
      <c r="H208" s="3">
        <v>15</v>
      </c>
      <c r="I208" s="3">
        <v>87.7</v>
      </c>
      <c r="J208" s="3">
        <v>1.22</v>
      </c>
      <c r="K208" s="3">
        <v>0</v>
      </c>
      <c r="L208" s="3">
        <v>3.7</v>
      </c>
      <c r="M208" s="3">
        <v>666152.52</v>
      </c>
      <c r="N208" s="3">
        <v>107490.58</v>
      </c>
      <c r="O208">
        <f t="shared" si="3"/>
        <v>0</v>
      </c>
    </row>
    <row r="209" spans="1:15">
      <c r="A209" s="3" t="s">
        <v>89</v>
      </c>
      <c r="B209" s="5">
        <v>45658</v>
      </c>
      <c r="C209" s="3" t="s">
        <v>15</v>
      </c>
      <c r="D209" s="3" t="s">
        <v>28</v>
      </c>
      <c r="E209" s="3">
        <v>48752.92</v>
      </c>
      <c r="F209" s="3">
        <v>8052</v>
      </c>
      <c r="G209" s="7">
        <v>0.106</v>
      </c>
      <c r="H209" s="3">
        <v>16</v>
      </c>
      <c r="I209" s="3">
        <v>94.9</v>
      </c>
      <c r="J209" s="3">
        <v>0.65</v>
      </c>
      <c r="K209" s="3">
        <v>0</v>
      </c>
      <c r="L209" s="3">
        <v>3.6</v>
      </c>
      <c r="M209" s="3">
        <v>660633.99</v>
      </c>
      <c r="N209" s="3">
        <v>118768.66</v>
      </c>
      <c r="O209">
        <f t="shared" si="3"/>
        <v>1</v>
      </c>
    </row>
    <row r="210" spans="1:15">
      <c r="A210" s="3" t="s">
        <v>91</v>
      </c>
      <c r="B210" s="5">
        <v>45717</v>
      </c>
      <c r="C210" s="3" t="s">
        <v>24</v>
      </c>
      <c r="D210" s="3" t="s">
        <v>16</v>
      </c>
      <c r="E210" s="3">
        <v>48609.41</v>
      </c>
      <c r="F210" s="3">
        <v>9324</v>
      </c>
      <c r="G210" s="7">
        <v>0.21299999999999999</v>
      </c>
      <c r="H210" s="3">
        <v>18</v>
      </c>
      <c r="I210" s="3">
        <v>86.5</v>
      </c>
      <c r="J210" s="3">
        <v>1.44</v>
      </c>
      <c r="K210" s="3">
        <v>0</v>
      </c>
      <c r="L210" s="3">
        <v>3.9</v>
      </c>
      <c r="M210" s="3">
        <v>756619.77</v>
      </c>
      <c r="N210" s="3">
        <v>112057.69</v>
      </c>
      <c r="O210">
        <f t="shared" si="3"/>
        <v>0</v>
      </c>
    </row>
    <row r="211" spans="1:15">
      <c r="A211" s="3" t="s">
        <v>99</v>
      </c>
      <c r="B211" s="5">
        <v>45658</v>
      </c>
      <c r="C211" s="3" t="s">
        <v>24</v>
      </c>
      <c r="D211" s="3" t="s">
        <v>18</v>
      </c>
      <c r="E211" s="3">
        <v>48465.599999999999</v>
      </c>
      <c r="F211" s="3">
        <v>5759</v>
      </c>
      <c r="G211" s="7">
        <v>0.154</v>
      </c>
      <c r="H211" s="3">
        <v>13</v>
      </c>
      <c r="I211" s="3">
        <v>87.5</v>
      </c>
      <c r="J211" s="3">
        <v>4.1399999999999997</v>
      </c>
      <c r="K211" s="3">
        <v>0</v>
      </c>
      <c r="L211" s="3">
        <v>4</v>
      </c>
      <c r="M211" s="3">
        <v>628538.30000000005</v>
      </c>
      <c r="N211" s="3">
        <v>112509.15</v>
      </c>
      <c r="O211">
        <f t="shared" si="3"/>
        <v>0</v>
      </c>
    </row>
    <row r="212" spans="1:15">
      <c r="A212" s="3" t="s">
        <v>62</v>
      </c>
      <c r="B212" s="5">
        <v>45689</v>
      </c>
      <c r="C212" s="3" t="s">
        <v>24</v>
      </c>
      <c r="D212" s="3" t="s">
        <v>18</v>
      </c>
      <c r="E212" s="3">
        <v>48438.85</v>
      </c>
      <c r="F212" s="3">
        <v>6992</v>
      </c>
      <c r="G212" s="7">
        <v>3.4000000000000002E-2</v>
      </c>
      <c r="H212" s="3">
        <v>20</v>
      </c>
      <c r="I212" s="3">
        <v>91</v>
      </c>
      <c r="J212" s="3">
        <v>4.3600000000000003</v>
      </c>
      <c r="K212" s="3">
        <v>0</v>
      </c>
      <c r="L212" s="3">
        <v>4.2</v>
      </c>
      <c r="M212" s="3">
        <v>778298.88</v>
      </c>
      <c r="N212" s="3">
        <v>130076.72</v>
      </c>
      <c r="O212">
        <f t="shared" si="3"/>
        <v>0</v>
      </c>
    </row>
    <row r="213" spans="1:15">
      <c r="A213" s="3" t="s">
        <v>17</v>
      </c>
      <c r="B213" s="5">
        <v>45658</v>
      </c>
      <c r="C213" s="3" t="s">
        <v>15</v>
      </c>
      <c r="D213" s="3" t="s">
        <v>18</v>
      </c>
      <c r="E213" s="3">
        <v>48412.639999999999</v>
      </c>
      <c r="F213" s="3">
        <v>9545</v>
      </c>
      <c r="G213" s="7">
        <v>0.23100000000000001</v>
      </c>
      <c r="H213" s="3">
        <v>21</v>
      </c>
      <c r="I213" s="3">
        <v>97.6</v>
      </c>
      <c r="J213" s="3">
        <v>6.94</v>
      </c>
      <c r="K213" s="3">
        <v>1</v>
      </c>
      <c r="L213" s="3">
        <v>4.2</v>
      </c>
      <c r="M213" s="3">
        <v>741341.44</v>
      </c>
      <c r="N213" s="3">
        <v>119208.17</v>
      </c>
      <c r="O213">
        <f t="shared" si="3"/>
        <v>1</v>
      </c>
    </row>
    <row r="214" spans="1:15">
      <c r="A214" s="3" t="s">
        <v>52</v>
      </c>
      <c r="B214" s="5">
        <v>45717</v>
      </c>
      <c r="C214" s="3" t="s">
        <v>20</v>
      </c>
      <c r="D214" s="3" t="s">
        <v>18</v>
      </c>
      <c r="E214" s="3">
        <v>48396.13</v>
      </c>
      <c r="F214" s="3">
        <v>4423</v>
      </c>
      <c r="G214" s="7">
        <v>6.9000000000000006E-2</v>
      </c>
      <c r="H214" s="3">
        <v>15</v>
      </c>
      <c r="I214" s="3">
        <v>85.7</v>
      </c>
      <c r="J214" s="3">
        <v>1.88</v>
      </c>
      <c r="K214" s="3">
        <v>0</v>
      </c>
      <c r="L214" s="3">
        <v>3.9</v>
      </c>
      <c r="M214" s="3">
        <v>557487.26</v>
      </c>
      <c r="N214" s="3">
        <v>76432.19</v>
      </c>
      <c r="O214">
        <f t="shared" si="3"/>
        <v>0</v>
      </c>
    </row>
    <row r="215" spans="1:15">
      <c r="A215" s="3" t="s">
        <v>34</v>
      </c>
      <c r="B215" s="5">
        <v>45717</v>
      </c>
      <c r="C215" s="3" t="s">
        <v>20</v>
      </c>
      <c r="D215" s="3" t="s">
        <v>28</v>
      </c>
      <c r="E215" s="3">
        <v>48287.85</v>
      </c>
      <c r="F215" s="3">
        <v>5150</v>
      </c>
      <c r="G215" s="7">
        <v>8.0000000000000002E-3</v>
      </c>
      <c r="H215" s="3">
        <v>12</v>
      </c>
      <c r="I215" s="3">
        <v>80.400000000000006</v>
      </c>
      <c r="J215" s="3">
        <v>7.4</v>
      </c>
      <c r="K215" s="3">
        <v>0</v>
      </c>
      <c r="L215" s="3">
        <v>4.5</v>
      </c>
      <c r="M215" s="3">
        <v>625672.86</v>
      </c>
      <c r="N215" s="3">
        <v>118020.12</v>
      </c>
      <c r="O215">
        <f t="shared" si="3"/>
        <v>0</v>
      </c>
    </row>
    <row r="216" spans="1:15">
      <c r="A216" s="3" t="s">
        <v>83</v>
      </c>
      <c r="B216" s="5">
        <v>45689</v>
      </c>
      <c r="C216" s="3" t="s">
        <v>15</v>
      </c>
      <c r="D216" s="3" t="s">
        <v>18</v>
      </c>
      <c r="E216" s="3">
        <v>48060.78</v>
      </c>
      <c r="F216" s="3">
        <v>8733</v>
      </c>
      <c r="G216" s="7">
        <v>0</v>
      </c>
      <c r="H216" s="3">
        <v>20</v>
      </c>
      <c r="I216" s="3">
        <v>89.9</v>
      </c>
      <c r="J216" s="3">
        <v>0.8</v>
      </c>
      <c r="K216" s="3">
        <v>0</v>
      </c>
      <c r="L216" s="3">
        <v>3.4</v>
      </c>
      <c r="M216" s="3">
        <v>750471.34</v>
      </c>
      <c r="N216" s="3">
        <v>133788.04</v>
      </c>
      <c r="O216">
        <f t="shared" si="3"/>
        <v>1</v>
      </c>
    </row>
    <row r="217" spans="1:15">
      <c r="A217" s="3" t="s">
        <v>68</v>
      </c>
      <c r="B217" s="5">
        <v>45717</v>
      </c>
      <c r="C217" s="3" t="s">
        <v>20</v>
      </c>
      <c r="D217" s="3" t="s">
        <v>18</v>
      </c>
      <c r="E217" s="3">
        <v>48031.74</v>
      </c>
      <c r="F217" s="3">
        <v>6516</v>
      </c>
      <c r="G217" s="7">
        <v>6.7000000000000004E-2</v>
      </c>
      <c r="H217" s="3">
        <v>14</v>
      </c>
      <c r="I217" s="3">
        <v>99</v>
      </c>
      <c r="J217" s="3">
        <v>0.48</v>
      </c>
      <c r="K217" s="3">
        <v>1</v>
      </c>
      <c r="L217" s="3">
        <v>4.3</v>
      </c>
      <c r="M217" s="3">
        <v>765906.95</v>
      </c>
      <c r="N217" s="3">
        <v>114005.9</v>
      </c>
      <c r="O217">
        <f t="shared" si="3"/>
        <v>0</v>
      </c>
    </row>
    <row r="218" spans="1:15">
      <c r="A218" s="3" t="s">
        <v>80</v>
      </c>
      <c r="B218" s="5">
        <v>45748</v>
      </c>
      <c r="C218" s="3" t="s">
        <v>27</v>
      </c>
      <c r="D218" s="3" t="s">
        <v>16</v>
      </c>
      <c r="E218" s="3">
        <v>47944.14</v>
      </c>
      <c r="F218" s="3">
        <v>6169</v>
      </c>
      <c r="G218" s="7">
        <v>0.11899999999999999</v>
      </c>
      <c r="H218" s="3">
        <v>17</v>
      </c>
      <c r="I218" s="3">
        <v>92.2</v>
      </c>
      <c r="J218" s="3">
        <v>3.02</v>
      </c>
      <c r="K218" s="3">
        <v>0</v>
      </c>
      <c r="L218" s="3">
        <v>4.0999999999999996</v>
      </c>
      <c r="M218" s="3">
        <v>670629.48</v>
      </c>
      <c r="N218" s="3">
        <v>100140.8</v>
      </c>
      <c r="O218">
        <f t="shared" si="3"/>
        <v>0</v>
      </c>
    </row>
    <row r="219" spans="1:15">
      <c r="A219" s="3" t="s">
        <v>90</v>
      </c>
      <c r="B219" s="5">
        <v>45717</v>
      </c>
      <c r="C219" s="3" t="s">
        <v>27</v>
      </c>
      <c r="D219" s="3" t="s">
        <v>18</v>
      </c>
      <c r="E219" s="3">
        <v>47648.71</v>
      </c>
      <c r="F219" s="3">
        <v>5767</v>
      </c>
      <c r="G219" s="7">
        <v>0.14099999999999999</v>
      </c>
      <c r="H219" s="3">
        <v>17</v>
      </c>
      <c r="I219" s="3">
        <v>89.8</v>
      </c>
      <c r="J219" s="3">
        <v>1.76</v>
      </c>
      <c r="K219" s="3">
        <v>0</v>
      </c>
      <c r="L219" s="3">
        <v>3.1</v>
      </c>
      <c r="M219" s="3">
        <v>635837.74</v>
      </c>
      <c r="N219" s="3">
        <v>114740.64</v>
      </c>
      <c r="O219">
        <f t="shared" si="3"/>
        <v>0</v>
      </c>
    </row>
    <row r="220" spans="1:15">
      <c r="A220" s="3" t="s">
        <v>75</v>
      </c>
      <c r="B220" s="5">
        <v>45748</v>
      </c>
      <c r="C220" s="3" t="s">
        <v>27</v>
      </c>
      <c r="D220" s="3" t="s">
        <v>16</v>
      </c>
      <c r="E220" s="3">
        <v>47391.09</v>
      </c>
      <c r="F220" s="3">
        <v>11224</v>
      </c>
      <c r="G220" s="7">
        <v>0.14699999999999999</v>
      </c>
      <c r="H220" s="3">
        <v>25</v>
      </c>
      <c r="I220" s="3">
        <v>88.4</v>
      </c>
      <c r="J220" s="3">
        <v>2.44</v>
      </c>
      <c r="K220" s="3">
        <v>0</v>
      </c>
      <c r="L220" s="3">
        <v>4.9000000000000004</v>
      </c>
      <c r="M220" s="3">
        <v>836908.24</v>
      </c>
      <c r="N220" s="3">
        <v>141090.26</v>
      </c>
      <c r="O220">
        <f t="shared" si="3"/>
        <v>0</v>
      </c>
    </row>
    <row r="221" spans="1:15">
      <c r="A221" s="3" t="s">
        <v>80</v>
      </c>
      <c r="B221" s="5">
        <v>45658</v>
      </c>
      <c r="C221" s="3" t="s">
        <v>27</v>
      </c>
      <c r="D221" s="3" t="s">
        <v>16</v>
      </c>
      <c r="E221" s="3">
        <v>47241.919999999998</v>
      </c>
      <c r="F221" s="3">
        <v>4264</v>
      </c>
      <c r="G221" s="7">
        <v>6.9000000000000006E-2</v>
      </c>
      <c r="H221" s="3">
        <v>13</v>
      </c>
      <c r="I221" s="3">
        <v>95.3</v>
      </c>
      <c r="J221" s="3">
        <v>0.85</v>
      </c>
      <c r="K221" s="3">
        <v>0</v>
      </c>
      <c r="L221" s="3">
        <v>4.3</v>
      </c>
      <c r="M221" s="3">
        <v>658072.14</v>
      </c>
      <c r="N221" s="3">
        <v>110595.89</v>
      </c>
      <c r="O221">
        <f t="shared" si="3"/>
        <v>0</v>
      </c>
    </row>
    <row r="222" spans="1:15">
      <c r="A222" s="3" t="s">
        <v>59</v>
      </c>
      <c r="B222" s="5">
        <v>45717</v>
      </c>
      <c r="C222" s="3" t="s">
        <v>24</v>
      </c>
      <c r="D222" s="3" t="s">
        <v>28</v>
      </c>
      <c r="E222" s="3">
        <v>47093.55</v>
      </c>
      <c r="F222" s="3">
        <v>5550</v>
      </c>
      <c r="G222" s="7">
        <v>0.1</v>
      </c>
      <c r="H222" s="3">
        <v>12</v>
      </c>
      <c r="I222" s="3">
        <v>95</v>
      </c>
      <c r="J222" s="3">
        <v>2.33</v>
      </c>
      <c r="K222" s="3">
        <v>1</v>
      </c>
      <c r="L222" s="3">
        <v>3.7</v>
      </c>
      <c r="M222" s="3">
        <v>696744.15</v>
      </c>
      <c r="N222" s="3">
        <v>152230.09</v>
      </c>
      <c r="O222">
        <f t="shared" si="3"/>
        <v>0</v>
      </c>
    </row>
    <row r="223" spans="1:15">
      <c r="A223" s="3" t="s">
        <v>100</v>
      </c>
      <c r="B223" s="5">
        <v>45689</v>
      </c>
      <c r="C223" s="3" t="s">
        <v>20</v>
      </c>
      <c r="D223" s="3" t="s">
        <v>16</v>
      </c>
      <c r="E223" s="3">
        <v>46767.99</v>
      </c>
      <c r="F223" s="3">
        <v>7973</v>
      </c>
      <c r="G223" s="7">
        <v>0.183</v>
      </c>
      <c r="H223" s="3">
        <v>18</v>
      </c>
      <c r="I223" s="3">
        <v>94.8</v>
      </c>
      <c r="J223" s="3">
        <v>4.67</v>
      </c>
      <c r="K223" s="3">
        <v>0</v>
      </c>
      <c r="L223" s="3">
        <v>3.92</v>
      </c>
      <c r="M223" s="3">
        <v>688368.46</v>
      </c>
      <c r="N223" s="3">
        <v>93588.42</v>
      </c>
      <c r="O223">
        <f t="shared" si="3"/>
        <v>0</v>
      </c>
    </row>
    <row r="224" spans="1:15">
      <c r="A224" s="3" t="s">
        <v>34</v>
      </c>
      <c r="B224" s="5">
        <v>45658</v>
      </c>
      <c r="C224" s="3" t="s">
        <v>20</v>
      </c>
      <c r="D224" s="3" t="s">
        <v>28</v>
      </c>
      <c r="E224" s="3">
        <v>46624.05</v>
      </c>
      <c r="F224" s="3">
        <v>5104</v>
      </c>
      <c r="G224" s="7">
        <v>0.109</v>
      </c>
      <c r="H224" s="3">
        <v>11</v>
      </c>
      <c r="I224" s="3">
        <v>97.3</v>
      </c>
      <c r="J224" s="3">
        <v>3.49</v>
      </c>
      <c r="K224" s="3">
        <v>1</v>
      </c>
      <c r="L224" s="3">
        <v>4.7</v>
      </c>
      <c r="M224" s="3">
        <v>622811.74</v>
      </c>
      <c r="N224" s="3">
        <v>109978.35</v>
      </c>
      <c r="O224">
        <f t="shared" si="3"/>
        <v>0</v>
      </c>
    </row>
    <row r="225" spans="1:15">
      <c r="A225" s="3" t="s">
        <v>81</v>
      </c>
      <c r="B225" s="5">
        <v>45658</v>
      </c>
      <c r="C225" s="3" t="s">
        <v>27</v>
      </c>
      <c r="D225" s="3" t="s">
        <v>28</v>
      </c>
      <c r="E225" s="3">
        <v>46495.4</v>
      </c>
      <c r="F225" s="3">
        <v>9908</v>
      </c>
      <c r="G225" s="7">
        <v>0.121</v>
      </c>
      <c r="H225" s="3">
        <v>22</v>
      </c>
      <c r="I225" s="3">
        <v>89.4</v>
      </c>
      <c r="J225" s="3">
        <v>3.22</v>
      </c>
      <c r="K225" s="3">
        <v>0</v>
      </c>
      <c r="L225" s="3">
        <v>3.7</v>
      </c>
      <c r="M225" s="3">
        <v>721079.35</v>
      </c>
      <c r="N225" s="3">
        <v>115295.05</v>
      </c>
      <c r="O225">
        <f t="shared" si="3"/>
        <v>0</v>
      </c>
    </row>
    <row r="226" spans="1:15">
      <c r="A226" s="3" t="s">
        <v>17</v>
      </c>
      <c r="B226" s="5">
        <v>45717</v>
      </c>
      <c r="C226" s="3" t="s">
        <v>15</v>
      </c>
      <c r="D226" s="3" t="s">
        <v>18</v>
      </c>
      <c r="E226" s="3">
        <v>46213.45</v>
      </c>
      <c r="F226" s="3">
        <v>10616</v>
      </c>
      <c r="G226" s="7">
        <v>0.122</v>
      </c>
      <c r="H226" s="3">
        <v>22</v>
      </c>
      <c r="I226" s="3">
        <v>85.2</v>
      </c>
      <c r="J226" s="3">
        <v>0.2</v>
      </c>
      <c r="K226" s="3">
        <v>1</v>
      </c>
      <c r="L226" s="3">
        <v>4.0999999999999996</v>
      </c>
      <c r="M226" s="3">
        <v>806615.54</v>
      </c>
      <c r="N226" s="3">
        <v>131364.62</v>
      </c>
      <c r="O226">
        <f t="shared" si="3"/>
        <v>1</v>
      </c>
    </row>
    <row r="227" spans="1:15">
      <c r="A227" s="3" t="s">
        <v>40</v>
      </c>
      <c r="B227" s="5">
        <v>45658</v>
      </c>
      <c r="C227" s="3" t="s">
        <v>15</v>
      </c>
      <c r="D227" s="3" t="s">
        <v>16</v>
      </c>
      <c r="E227" s="3">
        <v>46201.46</v>
      </c>
      <c r="F227" s="3">
        <v>5918</v>
      </c>
      <c r="G227" s="7">
        <v>0.27700000000000002</v>
      </c>
      <c r="H227" s="3">
        <v>13</v>
      </c>
      <c r="I227" s="3">
        <v>78.8</v>
      </c>
      <c r="J227" s="3">
        <v>4.91</v>
      </c>
      <c r="K227" s="3">
        <v>0</v>
      </c>
      <c r="L227" s="3">
        <v>4.5</v>
      </c>
      <c r="M227" s="3">
        <v>616069.41</v>
      </c>
      <c r="N227" s="3">
        <v>54453.99</v>
      </c>
      <c r="O227">
        <f t="shared" si="3"/>
        <v>1</v>
      </c>
    </row>
    <row r="228" spans="1:15">
      <c r="A228" s="3" t="s">
        <v>96</v>
      </c>
      <c r="B228" s="5">
        <v>45717</v>
      </c>
      <c r="C228" s="3" t="s">
        <v>27</v>
      </c>
      <c r="D228" s="3" t="s">
        <v>18</v>
      </c>
      <c r="E228" s="3">
        <v>46174.7</v>
      </c>
      <c r="F228" s="3">
        <v>4898</v>
      </c>
      <c r="G228" s="7">
        <v>0.114</v>
      </c>
      <c r="H228" s="3">
        <v>11</v>
      </c>
      <c r="I228" s="3">
        <v>91.7</v>
      </c>
      <c r="J228" s="3">
        <v>3.75</v>
      </c>
      <c r="K228" s="3">
        <v>0</v>
      </c>
      <c r="L228" s="3">
        <v>3.1</v>
      </c>
      <c r="M228" s="3">
        <v>599017.32999999996</v>
      </c>
      <c r="N228" s="3">
        <v>134009.92000000001</v>
      </c>
      <c r="O228">
        <f t="shared" si="3"/>
        <v>0</v>
      </c>
    </row>
    <row r="229" spans="1:15">
      <c r="A229" s="3" t="s">
        <v>98</v>
      </c>
      <c r="B229" s="5">
        <v>45689</v>
      </c>
      <c r="C229" s="3" t="s">
        <v>24</v>
      </c>
      <c r="D229" s="3" t="s">
        <v>16</v>
      </c>
      <c r="E229" s="3">
        <v>46146.239999999998</v>
      </c>
      <c r="F229" s="3">
        <v>5804</v>
      </c>
      <c r="G229" s="7">
        <v>4.7E-2</v>
      </c>
      <c r="H229" s="3">
        <v>16</v>
      </c>
      <c r="I229" s="3">
        <v>86.9</v>
      </c>
      <c r="J229" s="3">
        <v>15.82</v>
      </c>
      <c r="K229" s="3">
        <v>0</v>
      </c>
      <c r="L229" s="4">
        <v>3.8</v>
      </c>
      <c r="M229" s="3">
        <v>538376</v>
      </c>
      <c r="N229" s="3">
        <v>87605.62</v>
      </c>
      <c r="O229">
        <f t="shared" si="3"/>
        <v>0</v>
      </c>
    </row>
    <row r="230" spans="1:15">
      <c r="A230" s="3" t="s">
        <v>32</v>
      </c>
      <c r="B230" s="5">
        <v>45689</v>
      </c>
      <c r="C230" s="3" t="s">
        <v>15</v>
      </c>
      <c r="D230" s="3" t="s">
        <v>28</v>
      </c>
      <c r="E230" s="3">
        <v>46123.88</v>
      </c>
      <c r="F230" s="3">
        <v>3227</v>
      </c>
      <c r="G230" s="7">
        <v>0.14299999999999999</v>
      </c>
      <c r="H230" s="3">
        <v>10</v>
      </c>
      <c r="I230" s="3">
        <v>75.400000000000006</v>
      </c>
      <c r="J230" s="3">
        <v>1.06</v>
      </c>
      <c r="K230" s="3">
        <v>0</v>
      </c>
      <c r="L230" s="3">
        <v>4.4000000000000004</v>
      </c>
      <c r="M230" s="3">
        <v>532644.46</v>
      </c>
      <c r="N230" s="3">
        <v>60681.32</v>
      </c>
      <c r="O230">
        <f t="shared" si="3"/>
        <v>1</v>
      </c>
    </row>
    <row r="231" spans="1:15">
      <c r="A231" s="3" t="s">
        <v>92</v>
      </c>
      <c r="B231" s="5">
        <v>45658</v>
      </c>
      <c r="C231" s="3" t="s">
        <v>24</v>
      </c>
      <c r="D231" s="3" t="s">
        <v>18</v>
      </c>
      <c r="E231" s="3">
        <v>45940.39</v>
      </c>
      <c r="F231" s="3">
        <v>4022</v>
      </c>
      <c r="G231" s="7">
        <v>6.9000000000000006E-2</v>
      </c>
      <c r="H231" s="3">
        <v>10</v>
      </c>
      <c r="I231" s="3">
        <v>83</v>
      </c>
      <c r="J231" s="3">
        <v>1.23</v>
      </c>
      <c r="K231" s="3">
        <v>1</v>
      </c>
      <c r="L231" s="3">
        <v>3.8</v>
      </c>
      <c r="M231" s="3">
        <v>524899.56999999995</v>
      </c>
      <c r="N231" s="3">
        <v>63619.98</v>
      </c>
      <c r="O231">
        <f t="shared" si="3"/>
        <v>0</v>
      </c>
    </row>
    <row r="232" spans="1:15">
      <c r="A232" s="3" t="s">
        <v>57</v>
      </c>
      <c r="B232" s="5">
        <v>45689</v>
      </c>
      <c r="C232" s="3" t="s">
        <v>27</v>
      </c>
      <c r="D232" s="3" t="s">
        <v>18</v>
      </c>
      <c r="E232" s="3">
        <v>45706.49</v>
      </c>
      <c r="F232" s="3">
        <v>6704</v>
      </c>
      <c r="G232" s="7">
        <v>3.7999999999999999E-2</v>
      </c>
      <c r="H232" s="3">
        <v>15</v>
      </c>
      <c r="I232" s="3">
        <v>94.2</v>
      </c>
      <c r="J232" s="3">
        <v>2.92</v>
      </c>
      <c r="K232" s="3">
        <v>0</v>
      </c>
      <c r="L232" s="3">
        <v>4.2</v>
      </c>
      <c r="M232" s="3">
        <v>715097.57</v>
      </c>
      <c r="N232" s="3">
        <v>151875.85999999999</v>
      </c>
      <c r="O232">
        <f t="shared" si="3"/>
        <v>0</v>
      </c>
    </row>
    <row r="233" spans="1:15">
      <c r="A233" s="3" t="s">
        <v>67</v>
      </c>
      <c r="B233" s="5">
        <v>45689</v>
      </c>
      <c r="C233" s="3" t="s">
        <v>27</v>
      </c>
      <c r="D233" s="3" t="s">
        <v>16</v>
      </c>
      <c r="E233" s="3">
        <v>45209.25</v>
      </c>
      <c r="F233" s="3">
        <v>9287</v>
      </c>
      <c r="G233" s="7">
        <v>0.14099999999999999</v>
      </c>
      <c r="H233" s="3">
        <v>22</v>
      </c>
      <c r="I233" s="3">
        <v>86.4</v>
      </c>
      <c r="J233" s="4">
        <v>13.22</v>
      </c>
      <c r="K233" s="3">
        <v>0</v>
      </c>
      <c r="L233" s="3">
        <v>3.6</v>
      </c>
      <c r="M233" s="3">
        <v>751393.88</v>
      </c>
      <c r="N233" s="3">
        <v>91480.320000000007</v>
      </c>
      <c r="O233">
        <f t="shared" si="3"/>
        <v>0</v>
      </c>
    </row>
    <row r="234" spans="1:15">
      <c r="A234" s="3" t="s">
        <v>29</v>
      </c>
      <c r="B234" s="5">
        <v>45717</v>
      </c>
      <c r="C234" s="3" t="s">
        <v>15</v>
      </c>
      <c r="D234" s="3" t="s">
        <v>16</v>
      </c>
      <c r="E234" s="3">
        <v>44970.080000000002</v>
      </c>
      <c r="F234" s="3">
        <v>2471</v>
      </c>
      <c r="G234" s="7">
        <v>0.13600000000000001</v>
      </c>
      <c r="H234" s="3">
        <v>11</v>
      </c>
      <c r="I234" s="3">
        <v>87.6</v>
      </c>
      <c r="J234" s="3">
        <v>3.01</v>
      </c>
      <c r="K234" s="3">
        <v>1</v>
      </c>
      <c r="L234" s="3">
        <v>3.7</v>
      </c>
      <c r="M234" s="3">
        <v>500173.02</v>
      </c>
      <c r="N234" s="3">
        <v>70982.05</v>
      </c>
      <c r="O234">
        <f t="shared" si="3"/>
        <v>1</v>
      </c>
    </row>
    <row r="235" spans="1:15">
      <c r="A235" s="3" t="s">
        <v>53</v>
      </c>
      <c r="B235" s="5">
        <v>45689</v>
      </c>
      <c r="C235" s="3" t="s">
        <v>24</v>
      </c>
      <c r="D235" s="3" t="s">
        <v>18</v>
      </c>
      <c r="E235" s="3">
        <v>44747</v>
      </c>
      <c r="F235" s="3">
        <v>11076</v>
      </c>
      <c r="G235" s="7">
        <v>0.17599999999999999</v>
      </c>
      <c r="H235" s="3">
        <v>27</v>
      </c>
      <c r="I235" s="3">
        <v>98.3</v>
      </c>
      <c r="J235" s="3">
        <v>0.54</v>
      </c>
      <c r="K235" s="3">
        <v>0</v>
      </c>
      <c r="L235" s="3">
        <v>4.4000000000000004</v>
      </c>
      <c r="M235" s="3">
        <v>842439.67</v>
      </c>
      <c r="N235" s="3">
        <v>169983.63</v>
      </c>
      <c r="O235">
        <f t="shared" si="3"/>
        <v>0</v>
      </c>
    </row>
    <row r="236" spans="1:15">
      <c r="A236" s="3" t="s">
        <v>56</v>
      </c>
      <c r="B236" s="5">
        <v>45748</v>
      </c>
      <c r="C236" s="3" t="s">
        <v>24</v>
      </c>
      <c r="D236" s="3" t="s">
        <v>16</v>
      </c>
      <c r="E236" s="3">
        <v>44211.95</v>
      </c>
      <c r="F236" s="3">
        <v>5465</v>
      </c>
      <c r="G236" s="7">
        <v>0.187</v>
      </c>
      <c r="H236" s="3">
        <v>12</v>
      </c>
      <c r="I236" s="3">
        <v>90</v>
      </c>
      <c r="J236" s="3">
        <v>2.89</v>
      </c>
      <c r="K236" s="3">
        <v>0</v>
      </c>
      <c r="L236" s="3">
        <v>3.6</v>
      </c>
      <c r="M236" s="3">
        <v>646559.71</v>
      </c>
      <c r="N236" s="3">
        <v>97981.75</v>
      </c>
      <c r="O236">
        <f t="shared" si="3"/>
        <v>0</v>
      </c>
    </row>
    <row r="237" spans="1:15">
      <c r="A237" s="3" t="s">
        <v>86</v>
      </c>
      <c r="B237" s="5">
        <v>45717</v>
      </c>
      <c r="C237" s="3" t="s">
        <v>24</v>
      </c>
      <c r="D237" s="3" t="s">
        <v>28</v>
      </c>
      <c r="E237" s="3">
        <v>44189.34</v>
      </c>
      <c r="F237" s="3">
        <v>8634</v>
      </c>
      <c r="G237" s="7">
        <v>0.14299999999999999</v>
      </c>
      <c r="H237" s="3">
        <v>19</v>
      </c>
      <c r="I237" s="3">
        <v>87.5</v>
      </c>
      <c r="J237" s="3">
        <v>3.69</v>
      </c>
      <c r="K237" s="3">
        <v>0</v>
      </c>
      <c r="L237" s="3">
        <v>4.4000000000000004</v>
      </c>
      <c r="M237" s="3">
        <v>746115.59</v>
      </c>
      <c r="N237" s="3">
        <v>94662.96</v>
      </c>
      <c r="O237">
        <f t="shared" si="3"/>
        <v>0</v>
      </c>
    </row>
    <row r="238" spans="1:15">
      <c r="A238" s="3" t="s">
        <v>57</v>
      </c>
      <c r="B238" s="5">
        <v>45717</v>
      </c>
      <c r="C238" s="3" t="s">
        <v>27</v>
      </c>
      <c r="D238" s="3" t="s">
        <v>18</v>
      </c>
      <c r="E238" s="3">
        <v>44034.6</v>
      </c>
      <c r="F238" s="3">
        <v>5645</v>
      </c>
      <c r="G238" s="7">
        <v>6.9000000000000006E-2</v>
      </c>
      <c r="H238" s="3">
        <v>18</v>
      </c>
      <c r="I238" s="3">
        <v>88.5</v>
      </c>
      <c r="J238" s="3">
        <v>3.07</v>
      </c>
      <c r="K238" s="3">
        <v>0</v>
      </c>
      <c r="L238" s="3">
        <v>3.8</v>
      </c>
      <c r="M238" s="3">
        <v>682639.28</v>
      </c>
      <c r="N238" s="3">
        <v>77557.53</v>
      </c>
      <c r="O238">
        <f t="shared" si="3"/>
        <v>0</v>
      </c>
    </row>
    <row r="239" spans="1:15">
      <c r="A239" s="3" t="s">
        <v>52</v>
      </c>
      <c r="B239" s="5">
        <v>45658</v>
      </c>
      <c r="C239" s="3" t="s">
        <v>20</v>
      </c>
      <c r="D239" s="3" t="s">
        <v>18</v>
      </c>
      <c r="E239" s="3">
        <v>43896.13</v>
      </c>
      <c r="F239" s="3">
        <v>3853</v>
      </c>
      <c r="G239" s="7">
        <v>8.7999999999999995E-2</v>
      </c>
      <c r="H239" s="3">
        <v>13</v>
      </c>
      <c r="I239" s="3">
        <v>83</v>
      </c>
      <c r="J239" s="3">
        <v>6.8</v>
      </c>
      <c r="K239" s="3">
        <v>0</v>
      </c>
      <c r="L239" s="3">
        <v>4.4000000000000004</v>
      </c>
      <c r="M239" s="3">
        <v>509484.81</v>
      </c>
      <c r="N239" s="3">
        <v>85742.36</v>
      </c>
      <c r="O239">
        <f t="shared" si="3"/>
        <v>0</v>
      </c>
    </row>
    <row r="240" spans="1:15">
      <c r="A240" s="3" t="s">
        <v>14</v>
      </c>
      <c r="B240" s="5">
        <v>45689</v>
      </c>
      <c r="C240" s="3" t="s">
        <v>15</v>
      </c>
      <c r="D240" s="3" t="s">
        <v>16</v>
      </c>
      <c r="E240" s="3">
        <v>43827.89</v>
      </c>
      <c r="F240" s="3">
        <v>8487</v>
      </c>
      <c r="G240" s="7">
        <v>0.16800000000000001</v>
      </c>
      <c r="H240" s="3">
        <v>23</v>
      </c>
      <c r="I240" s="3">
        <v>84.4</v>
      </c>
      <c r="J240" s="3">
        <v>4.3099999999999996</v>
      </c>
      <c r="K240" s="3">
        <v>0</v>
      </c>
      <c r="L240" s="3">
        <v>2.8</v>
      </c>
      <c r="M240" s="3">
        <v>634436</v>
      </c>
      <c r="N240" s="3">
        <v>106130.54</v>
      </c>
      <c r="O240">
        <f t="shared" si="3"/>
        <v>1</v>
      </c>
    </row>
    <row r="241" spans="1:15">
      <c r="A241" s="3" t="s">
        <v>51</v>
      </c>
      <c r="B241" s="5">
        <v>45658</v>
      </c>
      <c r="C241" s="3" t="s">
        <v>27</v>
      </c>
      <c r="D241" s="3" t="s">
        <v>16</v>
      </c>
      <c r="E241" s="3">
        <v>43685.14</v>
      </c>
      <c r="F241" s="3">
        <v>7821</v>
      </c>
      <c r="G241" s="7">
        <v>0.19</v>
      </c>
      <c r="H241" s="3">
        <v>17</v>
      </c>
      <c r="I241" s="3">
        <v>91</v>
      </c>
      <c r="J241" s="3">
        <v>2.4900000000000002</v>
      </c>
      <c r="K241" s="3">
        <v>1</v>
      </c>
      <c r="L241" s="3">
        <v>4.7</v>
      </c>
      <c r="M241" s="3">
        <v>714942.43</v>
      </c>
      <c r="N241" s="3">
        <v>94697.71</v>
      </c>
      <c r="O241">
        <f t="shared" si="3"/>
        <v>0</v>
      </c>
    </row>
    <row r="242" spans="1:15">
      <c r="A242" s="3" t="s">
        <v>65</v>
      </c>
      <c r="B242" s="5">
        <v>45689</v>
      </c>
      <c r="C242" s="3" t="s">
        <v>15</v>
      </c>
      <c r="D242" s="3" t="s">
        <v>16</v>
      </c>
      <c r="E242" s="3">
        <v>43645.98</v>
      </c>
      <c r="F242" s="3">
        <v>9480</v>
      </c>
      <c r="G242" s="7">
        <v>0.109</v>
      </c>
      <c r="H242" s="3">
        <v>22</v>
      </c>
      <c r="I242" s="3">
        <v>89</v>
      </c>
      <c r="J242" s="3">
        <v>2.11</v>
      </c>
      <c r="K242" s="3">
        <v>0</v>
      </c>
      <c r="L242" s="3">
        <v>3.1</v>
      </c>
      <c r="M242" s="3">
        <v>721364.11</v>
      </c>
      <c r="N242" s="3">
        <v>147272.81</v>
      </c>
      <c r="O242">
        <f t="shared" si="3"/>
        <v>1</v>
      </c>
    </row>
    <row r="243" spans="1:15">
      <c r="A243" s="3" t="s">
        <v>59</v>
      </c>
      <c r="B243" s="5">
        <v>45689</v>
      </c>
      <c r="C243" s="3" t="s">
        <v>24</v>
      </c>
      <c r="D243" s="3" t="s">
        <v>28</v>
      </c>
      <c r="E243" s="3">
        <v>43319.94</v>
      </c>
      <c r="F243" s="3">
        <v>6551</v>
      </c>
      <c r="G243" s="7">
        <v>4.3999999999999997E-2</v>
      </c>
      <c r="H243" s="3">
        <v>13</v>
      </c>
      <c r="I243" s="3">
        <v>99</v>
      </c>
      <c r="J243" s="3">
        <v>5.45</v>
      </c>
      <c r="K243" s="3">
        <v>0</v>
      </c>
      <c r="L243" s="3">
        <v>4.0999999999999996</v>
      </c>
      <c r="M243" s="3">
        <v>712868.35</v>
      </c>
      <c r="N243" s="3">
        <v>133650.51</v>
      </c>
      <c r="O243">
        <f t="shared" si="3"/>
        <v>0</v>
      </c>
    </row>
    <row r="244" spans="1:15">
      <c r="A244" s="3" t="s">
        <v>87</v>
      </c>
      <c r="B244" s="5">
        <v>45689</v>
      </c>
      <c r="C244" s="3" t="s">
        <v>27</v>
      </c>
      <c r="D244" s="3" t="s">
        <v>18</v>
      </c>
      <c r="E244" s="3">
        <v>43288.2</v>
      </c>
      <c r="F244" s="3">
        <v>4783</v>
      </c>
      <c r="G244" s="7">
        <v>0.16900000000000001</v>
      </c>
      <c r="H244" s="3">
        <v>13</v>
      </c>
      <c r="I244" s="3">
        <v>87.3</v>
      </c>
      <c r="J244" s="3">
        <v>4.55</v>
      </c>
      <c r="K244" s="3">
        <v>0</v>
      </c>
      <c r="L244" s="3">
        <v>4.2</v>
      </c>
      <c r="M244" s="3">
        <v>605751.32999999996</v>
      </c>
      <c r="N244" s="3">
        <v>60685.53</v>
      </c>
      <c r="O244">
        <f t="shared" si="3"/>
        <v>0</v>
      </c>
    </row>
    <row r="245" spans="1:15">
      <c r="A245" s="3" t="s">
        <v>78</v>
      </c>
      <c r="B245" s="5">
        <v>45717</v>
      </c>
      <c r="C245" s="3" t="s">
        <v>15</v>
      </c>
      <c r="D245" s="3" t="s">
        <v>28</v>
      </c>
      <c r="E245" s="3">
        <v>42932.02</v>
      </c>
      <c r="F245" s="3">
        <v>3872</v>
      </c>
      <c r="G245" s="7">
        <v>0.17100000000000001</v>
      </c>
      <c r="H245" s="3">
        <v>12</v>
      </c>
      <c r="I245" s="3">
        <v>83.2</v>
      </c>
      <c r="J245" s="3">
        <v>15.58</v>
      </c>
      <c r="K245" s="3">
        <v>0</v>
      </c>
      <c r="L245" s="3">
        <v>3.3</v>
      </c>
      <c r="M245" s="3">
        <v>527681.56000000006</v>
      </c>
      <c r="N245" s="3">
        <v>63153.05</v>
      </c>
      <c r="O245">
        <f t="shared" si="3"/>
        <v>1</v>
      </c>
    </row>
    <row r="246" spans="1:15">
      <c r="A246" s="3" t="s">
        <v>60</v>
      </c>
      <c r="B246" s="5">
        <v>45748</v>
      </c>
      <c r="C246" s="3" t="s">
        <v>15</v>
      </c>
      <c r="D246" s="3" t="s">
        <v>18</v>
      </c>
      <c r="E246" s="3">
        <v>42698.14</v>
      </c>
      <c r="F246" s="3">
        <v>7693</v>
      </c>
      <c r="G246" s="7">
        <v>0.187</v>
      </c>
      <c r="H246" s="3">
        <v>19</v>
      </c>
      <c r="I246" s="3">
        <v>90.1</v>
      </c>
      <c r="J246" s="3">
        <v>0.44</v>
      </c>
      <c r="K246" s="3">
        <v>0</v>
      </c>
      <c r="L246" s="3">
        <v>4.4000000000000004</v>
      </c>
      <c r="M246" s="3">
        <v>702318.94</v>
      </c>
      <c r="N246" s="3">
        <v>112829.29</v>
      </c>
      <c r="O246">
        <f t="shared" si="3"/>
        <v>1</v>
      </c>
    </row>
    <row r="247" spans="1:15">
      <c r="A247" s="3" t="s">
        <v>51</v>
      </c>
      <c r="B247" s="5">
        <v>45717</v>
      </c>
      <c r="C247" s="3" t="s">
        <v>27</v>
      </c>
      <c r="D247" s="3" t="s">
        <v>16</v>
      </c>
      <c r="E247" s="3">
        <v>42415.47</v>
      </c>
      <c r="F247" s="3">
        <v>8512</v>
      </c>
      <c r="G247" s="7">
        <v>0.13300000000000001</v>
      </c>
      <c r="H247" s="3">
        <v>18</v>
      </c>
      <c r="I247" s="3">
        <v>96.8</v>
      </c>
      <c r="J247" s="3">
        <v>14.95</v>
      </c>
      <c r="K247" s="3">
        <v>0</v>
      </c>
      <c r="L247" s="3">
        <v>4.5999999999999996</v>
      </c>
      <c r="M247" s="3">
        <v>684217.32</v>
      </c>
      <c r="N247" s="3">
        <v>136217.19</v>
      </c>
      <c r="O247">
        <f t="shared" si="3"/>
        <v>0</v>
      </c>
    </row>
    <row r="248" spans="1:15">
      <c r="A248" s="3" t="s">
        <v>25</v>
      </c>
      <c r="B248" s="5">
        <v>45717</v>
      </c>
      <c r="C248" s="3" t="s">
        <v>20</v>
      </c>
      <c r="D248" s="3" t="s">
        <v>16</v>
      </c>
      <c r="E248" s="3">
        <v>42267.37</v>
      </c>
      <c r="F248" s="3">
        <v>3364</v>
      </c>
      <c r="G248" s="7">
        <v>0.16</v>
      </c>
      <c r="H248" s="3">
        <v>13</v>
      </c>
      <c r="I248" s="3">
        <v>82</v>
      </c>
      <c r="J248" s="3">
        <v>1.61</v>
      </c>
      <c r="K248" s="3">
        <v>1</v>
      </c>
      <c r="L248" s="3">
        <v>4.5999999999999996</v>
      </c>
      <c r="M248" s="3">
        <v>555929.4</v>
      </c>
      <c r="N248" s="3">
        <v>115201.76</v>
      </c>
      <c r="O248">
        <f t="shared" si="3"/>
        <v>0</v>
      </c>
    </row>
    <row r="249" spans="1:15">
      <c r="A249" s="3" t="s">
        <v>33</v>
      </c>
      <c r="B249" s="5">
        <v>45748</v>
      </c>
      <c r="C249" s="3" t="s">
        <v>27</v>
      </c>
      <c r="D249" s="3" t="s">
        <v>16</v>
      </c>
      <c r="E249" s="3">
        <v>42093.84</v>
      </c>
      <c r="F249" s="3">
        <v>4074</v>
      </c>
      <c r="G249" s="7">
        <v>0.155</v>
      </c>
      <c r="H249" s="3">
        <v>15</v>
      </c>
      <c r="I249" s="3">
        <v>88</v>
      </c>
      <c r="J249" s="3">
        <v>9.64</v>
      </c>
      <c r="K249" s="3">
        <v>0</v>
      </c>
      <c r="L249" s="3">
        <v>3.3</v>
      </c>
      <c r="M249" s="3">
        <v>585365.73</v>
      </c>
      <c r="N249" s="3">
        <v>81011.520000000004</v>
      </c>
      <c r="O249">
        <f t="shared" si="3"/>
        <v>0</v>
      </c>
    </row>
    <row r="250" spans="1:15">
      <c r="A250" s="3" t="s">
        <v>38</v>
      </c>
      <c r="B250" s="5">
        <v>45748</v>
      </c>
      <c r="C250" s="3" t="s">
        <v>27</v>
      </c>
      <c r="D250" s="3" t="s">
        <v>18</v>
      </c>
      <c r="E250" s="3">
        <v>42018.400000000001</v>
      </c>
      <c r="F250" s="3">
        <v>8296</v>
      </c>
      <c r="G250" s="7">
        <v>0.115</v>
      </c>
      <c r="H250" s="3">
        <v>17</v>
      </c>
      <c r="I250" s="3">
        <v>91.8</v>
      </c>
      <c r="J250" s="4">
        <v>0.77</v>
      </c>
      <c r="K250" s="3">
        <v>0</v>
      </c>
      <c r="L250" s="3">
        <v>3.4</v>
      </c>
      <c r="M250" s="3">
        <v>740496.65</v>
      </c>
      <c r="N250" s="3">
        <v>128020.9</v>
      </c>
      <c r="O250">
        <f t="shared" si="3"/>
        <v>0</v>
      </c>
    </row>
    <row r="251" spans="1:15">
      <c r="A251" s="3" t="s">
        <v>61</v>
      </c>
      <c r="B251" s="5">
        <v>45689</v>
      </c>
      <c r="C251" s="3" t="s">
        <v>20</v>
      </c>
      <c r="D251" s="3" t="s">
        <v>28</v>
      </c>
      <c r="E251" s="3">
        <v>41863.08</v>
      </c>
      <c r="F251" s="3">
        <v>5400</v>
      </c>
      <c r="G251" s="7">
        <v>0.114</v>
      </c>
      <c r="H251" s="3">
        <v>11</v>
      </c>
      <c r="I251" s="3">
        <v>91.6</v>
      </c>
      <c r="J251" s="3">
        <v>7.99</v>
      </c>
      <c r="K251" s="3">
        <v>0</v>
      </c>
      <c r="L251" s="3">
        <v>3</v>
      </c>
      <c r="M251" s="3">
        <v>602002.31999999995</v>
      </c>
      <c r="N251" s="3">
        <v>110453.28</v>
      </c>
      <c r="O251">
        <f t="shared" si="3"/>
        <v>0</v>
      </c>
    </row>
    <row r="252" spans="1:15">
      <c r="A252" s="3" t="s">
        <v>75</v>
      </c>
      <c r="B252" s="5">
        <v>45689</v>
      </c>
      <c r="C252" s="3" t="s">
        <v>27</v>
      </c>
      <c r="D252" s="3" t="s">
        <v>16</v>
      </c>
      <c r="E252" s="3">
        <v>41819.449999999997</v>
      </c>
      <c r="F252" s="3">
        <v>9412</v>
      </c>
      <c r="G252" s="7">
        <v>0.15</v>
      </c>
      <c r="H252" s="3">
        <v>22</v>
      </c>
      <c r="I252" s="3">
        <v>91</v>
      </c>
      <c r="J252" s="3">
        <v>3.67</v>
      </c>
      <c r="K252" s="3">
        <v>0</v>
      </c>
      <c r="L252" s="3">
        <v>4.2</v>
      </c>
      <c r="M252" s="3">
        <v>804975.5</v>
      </c>
      <c r="N252" s="3">
        <v>140054.5</v>
      </c>
      <c r="O252">
        <f t="shared" si="3"/>
        <v>0</v>
      </c>
    </row>
    <row r="253" spans="1:15">
      <c r="A253" s="3" t="s">
        <v>70</v>
      </c>
      <c r="B253" s="5">
        <v>45748</v>
      </c>
      <c r="C253" s="3" t="s">
        <v>27</v>
      </c>
      <c r="D253" s="3" t="s">
        <v>16</v>
      </c>
      <c r="E253" s="3">
        <v>41657.64</v>
      </c>
      <c r="F253" s="3">
        <v>3135</v>
      </c>
      <c r="G253" s="7">
        <v>0.22900000000000001</v>
      </c>
      <c r="H253" s="3">
        <v>7</v>
      </c>
      <c r="I253" s="3">
        <v>85.4</v>
      </c>
      <c r="J253" s="3">
        <v>13.48</v>
      </c>
      <c r="K253" s="3">
        <v>0</v>
      </c>
      <c r="L253" s="3">
        <v>3.92</v>
      </c>
      <c r="M253" s="3">
        <v>449465.06</v>
      </c>
      <c r="N253" s="3">
        <v>65694.78</v>
      </c>
      <c r="O253">
        <f t="shared" si="3"/>
        <v>0</v>
      </c>
    </row>
    <row r="254" spans="1:15">
      <c r="A254" s="3" t="s">
        <v>62</v>
      </c>
      <c r="B254" s="5">
        <v>45658</v>
      </c>
      <c r="C254" s="3" t="s">
        <v>24</v>
      </c>
      <c r="D254" s="3" t="s">
        <v>18</v>
      </c>
      <c r="E254" s="3">
        <v>41443.410000000003</v>
      </c>
      <c r="F254" s="3">
        <v>7455</v>
      </c>
      <c r="G254" s="7">
        <v>0.17499999999999999</v>
      </c>
      <c r="H254" s="3">
        <v>16</v>
      </c>
      <c r="I254" s="3">
        <v>90.1</v>
      </c>
      <c r="J254" s="3">
        <v>4.05</v>
      </c>
      <c r="K254" s="3">
        <v>0</v>
      </c>
      <c r="L254" s="3">
        <v>4</v>
      </c>
      <c r="M254" s="3">
        <v>650480.06000000006</v>
      </c>
      <c r="N254" s="3">
        <v>109012.07</v>
      </c>
      <c r="O254">
        <f t="shared" si="3"/>
        <v>0</v>
      </c>
    </row>
    <row r="255" spans="1:15">
      <c r="A255" s="3" t="s">
        <v>23</v>
      </c>
      <c r="B255" s="5">
        <v>45748</v>
      </c>
      <c r="C255" s="3" t="s">
        <v>24</v>
      </c>
      <c r="D255" s="3" t="s">
        <v>16</v>
      </c>
      <c r="E255" s="3">
        <v>41441.93</v>
      </c>
      <c r="F255" s="3">
        <v>4865</v>
      </c>
      <c r="G255" s="7">
        <v>0.158</v>
      </c>
      <c r="H255" s="3">
        <v>16</v>
      </c>
      <c r="I255" s="3">
        <v>88.3</v>
      </c>
      <c r="J255" s="3">
        <v>0.5</v>
      </c>
      <c r="K255" s="3">
        <v>0</v>
      </c>
      <c r="L255" s="3">
        <v>4</v>
      </c>
      <c r="M255" s="3">
        <v>591619.94999999995</v>
      </c>
      <c r="N255" s="3">
        <v>99521.35</v>
      </c>
      <c r="O255">
        <f t="shared" si="3"/>
        <v>0</v>
      </c>
    </row>
    <row r="256" spans="1:15">
      <c r="A256" s="3" t="s">
        <v>93</v>
      </c>
      <c r="B256" s="5">
        <v>45748</v>
      </c>
      <c r="C256" s="3" t="s">
        <v>27</v>
      </c>
      <c r="D256" s="3" t="s">
        <v>16</v>
      </c>
      <c r="E256" s="3">
        <v>40928.69</v>
      </c>
      <c r="F256" s="3">
        <v>4094</v>
      </c>
      <c r="G256" s="7">
        <v>0.17399999999999999</v>
      </c>
      <c r="H256" s="3">
        <v>13</v>
      </c>
      <c r="I256" s="3">
        <v>82.4</v>
      </c>
      <c r="J256" s="3">
        <v>1.36</v>
      </c>
      <c r="K256" s="3">
        <v>0</v>
      </c>
      <c r="L256" s="3">
        <v>4.8</v>
      </c>
      <c r="M256" s="3">
        <v>548103.69999999995</v>
      </c>
      <c r="N256" s="3">
        <v>99905.52</v>
      </c>
      <c r="O256">
        <f t="shared" si="3"/>
        <v>0</v>
      </c>
    </row>
    <row r="257" spans="1:15">
      <c r="A257" s="3" t="s">
        <v>84</v>
      </c>
      <c r="B257" s="5">
        <v>45658</v>
      </c>
      <c r="C257" s="3" t="s">
        <v>20</v>
      </c>
      <c r="D257" s="3" t="s">
        <v>18</v>
      </c>
      <c r="E257" s="3">
        <v>40923.67</v>
      </c>
      <c r="F257" s="3">
        <v>3875</v>
      </c>
      <c r="G257" s="7">
        <v>0.15</v>
      </c>
      <c r="H257" s="3">
        <v>10</v>
      </c>
      <c r="I257" s="3">
        <v>96.1</v>
      </c>
      <c r="J257" s="3">
        <v>4.55</v>
      </c>
      <c r="K257" s="3">
        <v>0</v>
      </c>
      <c r="L257" s="3">
        <v>3.8</v>
      </c>
      <c r="M257" s="3">
        <v>606783.67000000004</v>
      </c>
      <c r="N257" s="3">
        <v>74515.87</v>
      </c>
      <c r="O257">
        <f t="shared" si="3"/>
        <v>0</v>
      </c>
    </row>
    <row r="258" spans="1:15">
      <c r="A258" s="3" t="s">
        <v>97</v>
      </c>
      <c r="B258" s="5">
        <v>45658</v>
      </c>
      <c r="C258" s="3" t="s">
        <v>20</v>
      </c>
      <c r="D258" s="3" t="s">
        <v>28</v>
      </c>
      <c r="E258" s="3">
        <v>40647.67</v>
      </c>
      <c r="F258" s="3">
        <v>8252</v>
      </c>
      <c r="G258" s="7">
        <v>0.14099999999999999</v>
      </c>
      <c r="H258" s="3">
        <v>22</v>
      </c>
      <c r="I258" s="3">
        <v>88.2</v>
      </c>
      <c r="J258" s="3">
        <v>5.07</v>
      </c>
      <c r="K258" s="3">
        <v>1</v>
      </c>
      <c r="L258" s="3">
        <v>4.0999999999999996</v>
      </c>
      <c r="M258" s="3">
        <v>703812.99</v>
      </c>
      <c r="N258" s="3">
        <v>133577.98000000001</v>
      </c>
      <c r="O258">
        <f t="shared" si="3"/>
        <v>0</v>
      </c>
    </row>
    <row r="259" spans="1:15">
      <c r="A259" s="3" t="s">
        <v>101</v>
      </c>
      <c r="B259" s="5">
        <v>45748</v>
      </c>
      <c r="C259" s="3" t="s">
        <v>15</v>
      </c>
      <c r="D259" s="3" t="s">
        <v>16</v>
      </c>
      <c r="E259" s="3">
        <v>40553.11</v>
      </c>
      <c r="F259" s="3">
        <v>5317</v>
      </c>
      <c r="G259" s="7">
        <v>0.16500000000000001</v>
      </c>
      <c r="H259" s="3">
        <v>17</v>
      </c>
      <c r="I259" s="3">
        <v>84.3</v>
      </c>
      <c r="J259" s="3">
        <v>11.82</v>
      </c>
      <c r="K259" s="3">
        <v>0</v>
      </c>
      <c r="L259" s="3">
        <v>4.0999999999999996</v>
      </c>
      <c r="M259" s="3">
        <v>559660.84</v>
      </c>
      <c r="N259" s="3">
        <v>71443.61</v>
      </c>
      <c r="O259">
        <f t="shared" ref="O259:O321" si="4">IF(C259="East",1,0)</f>
        <v>1</v>
      </c>
    </row>
    <row r="260" spans="1:15">
      <c r="A260" s="3" t="s">
        <v>66</v>
      </c>
      <c r="B260" s="5">
        <v>45717</v>
      </c>
      <c r="C260" s="3" t="s">
        <v>27</v>
      </c>
      <c r="D260" s="3" t="s">
        <v>21</v>
      </c>
      <c r="E260" s="3">
        <v>40535.089999999997</v>
      </c>
      <c r="F260" s="3">
        <v>8870</v>
      </c>
      <c r="G260" s="7">
        <v>4.1000000000000002E-2</v>
      </c>
      <c r="H260" s="3">
        <v>21</v>
      </c>
      <c r="I260" s="3">
        <v>86.6</v>
      </c>
      <c r="J260" s="3">
        <v>0.3</v>
      </c>
      <c r="K260" s="3">
        <v>0</v>
      </c>
      <c r="L260" s="3">
        <v>4.0999999999999996</v>
      </c>
      <c r="M260" s="3">
        <v>781955.52</v>
      </c>
      <c r="N260" s="3">
        <v>152578.71</v>
      </c>
      <c r="O260">
        <f t="shared" si="4"/>
        <v>0</v>
      </c>
    </row>
    <row r="261" spans="1:15">
      <c r="A261" s="3" t="s">
        <v>32</v>
      </c>
      <c r="B261" s="5">
        <v>45658</v>
      </c>
      <c r="C261" s="3" t="s">
        <v>15</v>
      </c>
      <c r="D261" s="3" t="s">
        <v>28</v>
      </c>
      <c r="E261" s="3">
        <v>40462.94</v>
      </c>
      <c r="F261" s="3">
        <v>3660</v>
      </c>
      <c r="G261" s="7">
        <v>0.218</v>
      </c>
      <c r="H261" s="3">
        <v>11</v>
      </c>
      <c r="I261" s="3">
        <v>95.2</v>
      </c>
      <c r="J261" s="3">
        <v>5.57</v>
      </c>
      <c r="K261" s="3">
        <v>0</v>
      </c>
      <c r="L261" s="3">
        <v>4.4000000000000004</v>
      </c>
      <c r="M261" s="3">
        <v>592195.85</v>
      </c>
      <c r="N261" s="3">
        <v>92291.56</v>
      </c>
      <c r="O261">
        <f t="shared" si="4"/>
        <v>1</v>
      </c>
    </row>
    <row r="262" spans="1:15">
      <c r="A262" s="3" t="s">
        <v>70</v>
      </c>
      <c r="B262" s="5">
        <v>45717</v>
      </c>
      <c r="C262" s="3" t="s">
        <v>27</v>
      </c>
      <c r="D262" s="3" t="s">
        <v>16</v>
      </c>
      <c r="E262" s="3">
        <v>40220.18</v>
      </c>
      <c r="F262" s="3">
        <v>3783</v>
      </c>
      <c r="G262" s="7">
        <v>8.8999999999999996E-2</v>
      </c>
      <c r="H262" s="3">
        <v>14</v>
      </c>
      <c r="I262" s="3">
        <v>86.6</v>
      </c>
      <c r="J262" s="3">
        <v>3.63</v>
      </c>
      <c r="K262" s="3">
        <v>0</v>
      </c>
      <c r="L262" s="3">
        <v>3.7</v>
      </c>
      <c r="M262" s="3">
        <v>559422.02</v>
      </c>
      <c r="N262" s="3">
        <v>73528.740000000005</v>
      </c>
      <c r="O262">
        <f t="shared" si="4"/>
        <v>0</v>
      </c>
    </row>
    <row r="263" spans="1:15">
      <c r="A263" s="3" t="s">
        <v>95</v>
      </c>
      <c r="B263" s="5">
        <v>45689</v>
      </c>
      <c r="C263" s="3" t="s">
        <v>27</v>
      </c>
      <c r="D263" s="3" t="s">
        <v>18</v>
      </c>
      <c r="E263" s="3">
        <v>40102.879999999997</v>
      </c>
      <c r="F263" s="3">
        <v>2358</v>
      </c>
      <c r="G263" s="7">
        <v>0.11899999999999999</v>
      </c>
      <c r="H263" s="3">
        <v>9</v>
      </c>
      <c r="I263" s="3">
        <v>88.7</v>
      </c>
      <c r="J263" s="4">
        <v>1.6</v>
      </c>
      <c r="K263" s="3">
        <v>0</v>
      </c>
      <c r="L263" s="3">
        <v>4.2</v>
      </c>
      <c r="M263" s="3">
        <v>533121.26</v>
      </c>
      <c r="N263" s="3">
        <v>55063.39</v>
      </c>
      <c r="O263">
        <f t="shared" si="4"/>
        <v>0</v>
      </c>
    </row>
    <row r="264" spans="1:15">
      <c r="A264" s="3" t="s">
        <v>78</v>
      </c>
      <c r="B264" s="5">
        <v>45748</v>
      </c>
      <c r="C264" s="3" t="s">
        <v>15</v>
      </c>
      <c r="D264" s="3" t="s">
        <v>28</v>
      </c>
      <c r="E264" s="3">
        <v>39341.449999999997</v>
      </c>
      <c r="F264" s="3">
        <v>1375</v>
      </c>
      <c r="G264" s="7">
        <v>9.2999999999999999E-2</v>
      </c>
      <c r="H264" s="3">
        <v>5</v>
      </c>
      <c r="I264" s="3">
        <v>95</v>
      </c>
      <c r="J264" s="3">
        <v>5.32</v>
      </c>
      <c r="K264" s="3">
        <v>0</v>
      </c>
      <c r="L264" s="3">
        <v>3.92</v>
      </c>
      <c r="M264" s="3">
        <v>529598.93999999994</v>
      </c>
      <c r="N264" s="3">
        <v>84334.33</v>
      </c>
      <c r="O264">
        <f t="shared" si="4"/>
        <v>1</v>
      </c>
    </row>
    <row r="265" spans="1:15">
      <c r="A265" s="3" t="s">
        <v>45</v>
      </c>
      <c r="B265" s="5">
        <v>45658</v>
      </c>
      <c r="C265" s="3" t="s">
        <v>27</v>
      </c>
      <c r="D265" s="3" t="s">
        <v>16</v>
      </c>
      <c r="E265" s="3">
        <v>38966.589999999997</v>
      </c>
      <c r="F265" s="3">
        <v>4509</v>
      </c>
      <c r="G265" s="7">
        <v>0.19400000000000001</v>
      </c>
      <c r="H265" s="3">
        <v>14</v>
      </c>
      <c r="I265" s="3">
        <v>91.1</v>
      </c>
      <c r="J265" s="3">
        <v>2.92</v>
      </c>
      <c r="K265" s="3">
        <v>0</v>
      </c>
      <c r="L265" s="3">
        <v>4.5999999999999996</v>
      </c>
      <c r="M265" s="3">
        <v>585937.48</v>
      </c>
      <c r="N265" s="3">
        <v>82624.2</v>
      </c>
      <c r="O265">
        <f t="shared" si="4"/>
        <v>0</v>
      </c>
    </row>
    <row r="266" spans="1:15">
      <c r="A266" s="3" t="s">
        <v>46</v>
      </c>
      <c r="B266" s="5">
        <v>45717</v>
      </c>
      <c r="C266" s="3" t="s">
        <v>27</v>
      </c>
      <c r="D266" s="3" t="s">
        <v>28</v>
      </c>
      <c r="E266" s="3">
        <v>38752.800000000003</v>
      </c>
      <c r="F266" s="3">
        <v>4712</v>
      </c>
      <c r="G266" s="7">
        <v>7.4999999999999997E-2</v>
      </c>
      <c r="H266" s="3">
        <v>15</v>
      </c>
      <c r="I266" s="3">
        <v>89.7</v>
      </c>
      <c r="J266" s="3">
        <v>4.55</v>
      </c>
      <c r="K266" s="3">
        <v>0</v>
      </c>
      <c r="L266" s="3">
        <v>4.3</v>
      </c>
      <c r="M266" s="3">
        <v>605775.32999999996</v>
      </c>
      <c r="N266" s="3">
        <v>107194.6</v>
      </c>
      <c r="O266">
        <f t="shared" si="4"/>
        <v>0</v>
      </c>
    </row>
    <row r="267" spans="1:15">
      <c r="A267" s="3" t="s">
        <v>86</v>
      </c>
      <c r="B267" s="5">
        <v>45748</v>
      </c>
      <c r="C267" s="3" t="s">
        <v>24</v>
      </c>
      <c r="D267" s="3" t="s">
        <v>28</v>
      </c>
      <c r="E267" s="3">
        <v>38397.82</v>
      </c>
      <c r="F267" s="3">
        <v>7836</v>
      </c>
      <c r="G267" s="7">
        <v>7.0000000000000001E-3</v>
      </c>
      <c r="H267" s="3">
        <v>21</v>
      </c>
      <c r="I267" s="3">
        <v>92.2</v>
      </c>
      <c r="J267" s="3">
        <v>1.82</v>
      </c>
      <c r="K267" s="3">
        <v>0</v>
      </c>
      <c r="L267" s="3">
        <v>3.6</v>
      </c>
      <c r="M267" s="3">
        <v>776110.32</v>
      </c>
      <c r="N267" s="3">
        <v>139676.21</v>
      </c>
      <c r="O267">
        <f t="shared" si="4"/>
        <v>0</v>
      </c>
    </row>
    <row r="268" spans="1:15">
      <c r="A268" s="3" t="s">
        <v>84</v>
      </c>
      <c r="B268" s="5">
        <v>45717</v>
      </c>
      <c r="C268" s="3" t="s">
        <v>20</v>
      </c>
      <c r="D268" s="3" t="s">
        <v>18</v>
      </c>
      <c r="E268" s="3">
        <v>38361.93</v>
      </c>
      <c r="F268" s="3">
        <v>6322</v>
      </c>
      <c r="G268" s="7">
        <v>0.27300000000000002</v>
      </c>
      <c r="H268" s="3">
        <v>15</v>
      </c>
      <c r="I268" s="3">
        <v>88.4</v>
      </c>
      <c r="J268" s="3">
        <v>0.83</v>
      </c>
      <c r="K268" s="3">
        <v>0</v>
      </c>
      <c r="L268" s="3">
        <v>4</v>
      </c>
      <c r="M268" s="3">
        <v>647953.78</v>
      </c>
      <c r="N268" s="3">
        <v>118497.43</v>
      </c>
      <c r="O268">
        <f t="shared" si="4"/>
        <v>0</v>
      </c>
    </row>
    <row r="269" spans="1:15">
      <c r="A269" s="3" t="s">
        <v>90</v>
      </c>
      <c r="B269" s="5">
        <v>45748</v>
      </c>
      <c r="C269" s="3" t="s">
        <v>27</v>
      </c>
      <c r="D269" s="3" t="s">
        <v>18</v>
      </c>
      <c r="E269" s="3">
        <v>38297.58</v>
      </c>
      <c r="F269" s="3">
        <v>5893</v>
      </c>
      <c r="G269" s="7">
        <v>0.247</v>
      </c>
      <c r="H269" s="3">
        <v>18</v>
      </c>
      <c r="I269" s="3">
        <v>77.599999999999994</v>
      </c>
      <c r="J269" s="3">
        <v>2.86</v>
      </c>
      <c r="K269" s="3">
        <v>0</v>
      </c>
      <c r="L269" s="3">
        <v>3</v>
      </c>
      <c r="M269" s="3">
        <v>686737.87</v>
      </c>
      <c r="N269" s="3">
        <v>83839.67</v>
      </c>
      <c r="O269">
        <f t="shared" si="4"/>
        <v>0</v>
      </c>
    </row>
    <row r="270" spans="1:15">
      <c r="A270" s="3" t="s">
        <v>73</v>
      </c>
      <c r="B270" s="5">
        <v>45717</v>
      </c>
      <c r="C270" s="3" t="s">
        <v>15</v>
      </c>
      <c r="D270" s="3" t="s">
        <v>28</v>
      </c>
      <c r="E270" s="3">
        <v>37983.35</v>
      </c>
      <c r="F270" s="3">
        <v>9283</v>
      </c>
      <c r="G270" s="7">
        <v>0.14899999999999999</v>
      </c>
      <c r="H270" s="3">
        <v>19</v>
      </c>
      <c r="I270" s="3">
        <v>83.2</v>
      </c>
      <c r="J270" s="3">
        <v>3.82</v>
      </c>
      <c r="K270" s="3">
        <v>0</v>
      </c>
      <c r="L270" s="3">
        <v>3.7</v>
      </c>
      <c r="M270" s="3">
        <v>671868.59</v>
      </c>
      <c r="N270" s="3">
        <v>71003.28</v>
      </c>
      <c r="O270">
        <f t="shared" si="4"/>
        <v>1</v>
      </c>
    </row>
    <row r="271" spans="1:15">
      <c r="A271" s="3" t="s">
        <v>53</v>
      </c>
      <c r="B271" s="5">
        <v>45748</v>
      </c>
      <c r="C271" s="3" t="s">
        <v>24</v>
      </c>
      <c r="D271" s="3" t="s">
        <v>18</v>
      </c>
      <c r="E271" s="3">
        <v>37828.5</v>
      </c>
      <c r="F271" s="3">
        <v>8221</v>
      </c>
      <c r="G271" s="7">
        <v>9.6000000000000002E-2</v>
      </c>
      <c r="H271" s="3">
        <v>19</v>
      </c>
      <c r="I271" s="3">
        <v>81.5</v>
      </c>
      <c r="J271" s="3">
        <v>3.19</v>
      </c>
      <c r="K271" s="3">
        <v>0</v>
      </c>
      <c r="L271" s="3">
        <v>4.8</v>
      </c>
      <c r="M271" s="3">
        <v>697155.3</v>
      </c>
      <c r="N271" s="3">
        <v>136408.54</v>
      </c>
      <c r="O271">
        <f t="shared" si="4"/>
        <v>0</v>
      </c>
    </row>
    <row r="272" spans="1:15">
      <c r="A272" s="3" t="s">
        <v>69</v>
      </c>
      <c r="B272" s="5">
        <v>45717</v>
      </c>
      <c r="C272" s="3" t="s">
        <v>15</v>
      </c>
      <c r="D272" s="3" t="s">
        <v>18</v>
      </c>
      <c r="E272" s="3">
        <v>37705.879999999997</v>
      </c>
      <c r="F272" s="3">
        <v>1268</v>
      </c>
      <c r="G272" s="7">
        <v>0.25900000000000001</v>
      </c>
      <c r="H272" s="3">
        <v>9</v>
      </c>
      <c r="I272" s="3">
        <v>84.1</v>
      </c>
      <c r="J272" s="3">
        <v>4.7699999999999996</v>
      </c>
      <c r="K272" s="3">
        <v>0</v>
      </c>
      <c r="L272" s="3">
        <v>3.8</v>
      </c>
      <c r="M272" s="3">
        <v>443275.59</v>
      </c>
      <c r="N272" s="3">
        <v>53544.36</v>
      </c>
      <c r="O272">
        <f t="shared" si="4"/>
        <v>1</v>
      </c>
    </row>
    <row r="273" spans="1:15">
      <c r="A273" s="3" t="s">
        <v>79</v>
      </c>
      <c r="B273" s="5">
        <v>45658</v>
      </c>
      <c r="C273" s="3" t="s">
        <v>15</v>
      </c>
      <c r="D273" s="3" t="s">
        <v>18</v>
      </c>
      <c r="E273" s="3">
        <v>37324.230000000003</v>
      </c>
      <c r="F273" s="3">
        <v>5957</v>
      </c>
      <c r="G273" s="7">
        <v>7.0999999999999994E-2</v>
      </c>
      <c r="H273" s="3">
        <v>12</v>
      </c>
      <c r="I273" s="3">
        <v>85.9</v>
      </c>
      <c r="J273" s="3">
        <v>0.37</v>
      </c>
      <c r="K273" s="3">
        <v>0</v>
      </c>
      <c r="L273" s="3">
        <v>3.8</v>
      </c>
      <c r="M273" s="3">
        <v>570963.31000000006</v>
      </c>
      <c r="N273" s="3">
        <v>87342.25</v>
      </c>
      <c r="O273">
        <f t="shared" si="4"/>
        <v>1</v>
      </c>
    </row>
    <row r="274" spans="1:15">
      <c r="A274" s="3" t="s">
        <v>37</v>
      </c>
      <c r="B274" s="5">
        <v>45689</v>
      </c>
      <c r="C274" s="3" t="s">
        <v>24</v>
      </c>
      <c r="D274" s="3" t="s">
        <v>18</v>
      </c>
      <c r="E274" s="3">
        <v>37284.660000000003</v>
      </c>
      <c r="F274" s="3">
        <v>3928</v>
      </c>
      <c r="G274" s="7">
        <v>7.3999999999999996E-2</v>
      </c>
      <c r="H274" s="3">
        <v>12</v>
      </c>
      <c r="I274" s="3">
        <v>86.5</v>
      </c>
      <c r="J274" s="3">
        <v>1.64</v>
      </c>
      <c r="K274" s="3">
        <v>0</v>
      </c>
      <c r="L274" s="3">
        <v>3.8</v>
      </c>
      <c r="M274" s="3">
        <v>615966.48</v>
      </c>
      <c r="N274" s="3">
        <v>91509.38</v>
      </c>
      <c r="O274">
        <f t="shared" si="4"/>
        <v>0</v>
      </c>
    </row>
    <row r="275" spans="1:15">
      <c r="A275" s="3" t="s">
        <v>91</v>
      </c>
      <c r="B275" s="5">
        <v>45689</v>
      </c>
      <c r="C275" s="3" t="s">
        <v>24</v>
      </c>
      <c r="D275" s="3" t="s">
        <v>16</v>
      </c>
      <c r="E275" s="3">
        <v>36832.33</v>
      </c>
      <c r="F275" s="3">
        <v>8001</v>
      </c>
      <c r="G275" s="7">
        <v>0</v>
      </c>
      <c r="H275" s="3">
        <v>19</v>
      </c>
      <c r="I275" s="3">
        <v>88.7</v>
      </c>
      <c r="J275" s="3">
        <v>3.39</v>
      </c>
      <c r="K275" s="3">
        <v>0</v>
      </c>
      <c r="L275" s="3">
        <v>4</v>
      </c>
      <c r="M275" s="3">
        <v>738548.42</v>
      </c>
      <c r="N275" s="3">
        <v>134282.76999999999</v>
      </c>
      <c r="O275">
        <f t="shared" si="4"/>
        <v>0</v>
      </c>
    </row>
    <row r="276" spans="1:15">
      <c r="A276" s="3" t="s">
        <v>39</v>
      </c>
      <c r="B276" s="5">
        <v>45689</v>
      </c>
      <c r="C276" s="3" t="s">
        <v>15</v>
      </c>
      <c r="D276" s="3" t="s">
        <v>18</v>
      </c>
      <c r="E276" s="3">
        <v>36813.449999999997</v>
      </c>
      <c r="F276" s="3">
        <v>2834</v>
      </c>
      <c r="G276" s="7">
        <v>0.191</v>
      </c>
      <c r="H276" s="3">
        <v>11</v>
      </c>
      <c r="I276" s="3">
        <v>81.8</v>
      </c>
      <c r="J276" s="3">
        <v>2.33</v>
      </c>
      <c r="K276" s="3">
        <v>0</v>
      </c>
      <c r="L276" s="3">
        <v>3.3</v>
      </c>
      <c r="M276" s="3">
        <v>479050.5</v>
      </c>
      <c r="N276" s="3">
        <v>53651.11</v>
      </c>
      <c r="O276">
        <f t="shared" si="4"/>
        <v>1</v>
      </c>
    </row>
    <row r="277" spans="1:15">
      <c r="A277" s="3" t="s">
        <v>64</v>
      </c>
      <c r="B277" s="5">
        <v>45748</v>
      </c>
      <c r="C277" s="3" t="s">
        <v>15</v>
      </c>
      <c r="D277" s="3" t="s">
        <v>16</v>
      </c>
      <c r="E277" s="3">
        <v>36606.51</v>
      </c>
      <c r="F277" s="3">
        <v>7671</v>
      </c>
      <c r="G277" s="7">
        <v>0.11799999999999999</v>
      </c>
      <c r="H277" s="3">
        <v>18</v>
      </c>
      <c r="I277" s="3">
        <v>89.8</v>
      </c>
      <c r="J277" s="3">
        <v>0.25</v>
      </c>
      <c r="K277" s="3">
        <v>0</v>
      </c>
      <c r="L277" s="3">
        <v>4.4000000000000004</v>
      </c>
      <c r="M277" s="3">
        <v>679731.57</v>
      </c>
      <c r="N277" s="3">
        <v>121546.42</v>
      </c>
      <c r="O277">
        <f t="shared" si="4"/>
        <v>1</v>
      </c>
    </row>
    <row r="278" spans="1:15">
      <c r="A278" s="3" t="s">
        <v>42</v>
      </c>
      <c r="B278" s="5">
        <v>45748</v>
      </c>
      <c r="C278" s="3" t="s">
        <v>27</v>
      </c>
      <c r="D278" s="3" t="s">
        <v>28</v>
      </c>
      <c r="E278" s="3">
        <v>36475.71</v>
      </c>
      <c r="F278" s="3">
        <v>3559</v>
      </c>
      <c r="G278" s="7">
        <v>0.03</v>
      </c>
      <c r="H278" s="3">
        <v>8</v>
      </c>
      <c r="I278" s="3">
        <v>83.6</v>
      </c>
      <c r="J278" s="3">
        <v>1.41</v>
      </c>
      <c r="K278" s="3">
        <v>0</v>
      </c>
      <c r="L278" s="3">
        <v>4.2</v>
      </c>
      <c r="M278" s="3">
        <v>569100.78</v>
      </c>
      <c r="N278" s="3">
        <v>104808.78</v>
      </c>
      <c r="O278">
        <f t="shared" si="4"/>
        <v>0</v>
      </c>
    </row>
    <row r="279" spans="1:15">
      <c r="A279" s="3" t="s">
        <v>85</v>
      </c>
      <c r="B279" s="5">
        <v>45748</v>
      </c>
      <c r="C279" s="3" t="s">
        <v>24</v>
      </c>
      <c r="D279" s="3" t="s">
        <v>21</v>
      </c>
      <c r="E279" s="3">
        <v>36290.080000000002</v>
      </c>
      <c r="F279" s="3">
        <v>5787</v>
      </c>
      <c r="G279" s="7">
        <v>0</v>
      </c>
      <c r="H279" s="3">
        <v>17</v>
      </c>
      <c r="I279" s="3">
        <v>88.3</v>
      </c>
      <c r="J279" s="3">
        <v>4.1900000000000004</v>
      </c>
      <c r="K279" s="3">
        <v>0</v>
      </c>
      <c r="L279" s="3">
        <v>4.0999999999999996</v>
      </c>
      <c r="M279" s="3">
        <v>612390.14</v>
      </c>
      <c r="N279" s="3">
        <v>108985.74</v>
      </c>
      <c r="O279">
        <f t="shared" si="4"/>
        <v>0</v>
      </c>
    </row>
    <row r="280" spans="1:15">
      <c r="A280" s="3" t="s">
        <v>63</v>
      </c>
      <c r="B280" s="5">
        <v>45689</v>
      </c>
      <c r="C280" s="3" t="s">
        <v>20</v>
      </c>
      <c r="D280" s="3" t="s">
        <v>28</v>
      </c>
      <c r="E280" s="3">
        <v>35303.300000000003</v>
      </c>
      <c r="F280" s="3">
        <v>8789</v>
      </c>
      <c r="G280" s="7">
        <v>0.123</v>
      </c>
      <c r="H280" s="3">
        <v>22</v>
      </c>
      <c r="I280" s="3">
        <v>86.1</v>
      </c>
      <c r="J280" s="3">
        <v>9.43</v>
      </c>
      <c r="K280" s="3">
        <v>0</v>
      </c>
      <c r="L280" s="3">
        <v>4.2</v>
      </c>
      <c r="M280" s="3">
        <v>706285.52</v>
      </c>
      <c r="N280" s="3">
        <v>138014.72</v>
      </c>
      <c r="O280">
        <f t="shared" si="4"/>
        <v>0</v>
      </c>
    </row>
    <row r="281" spans="1:15">
      <c r="A281" s="3" t="s">
        <v>75</v>
      </c>
      <c r="B281" s="5">
        <v>45717</v>
      </c>
      <c r="C281" s="3" t="s">
        <v>27</v>
      </c>
      <c r="D281" s="3" t="s">
        <v>16</v>
      </c>
      <c r="E281" s="3">
        <v>35296.54</v>
      </c>
      <c r="F281" s="3">
        <v>9644</v>
      </c>
      <c r="G281" s="7">
        <v>0</v>
      </c>
      <c r="H281" s="3">
        <v>22</v>
      </c>
      <c r="I281" s="3">
        <v>88</v>
      </c>
      <c r="J281" s="3">
        <v>2.81</v>
      </c>
      <c r="K281" s="3">
        <v>0</v>
      </c>
      <c r="L281" s="3">
        <v>4.7</v>
      </c>
      <c r="M281" s="3">
        <v>752321.72</v>
      </c>
      <c r="N281" s="3">
        <v>137788.51</v>
      </c>
      <c r="O281">
        <f t="shared" si="4"/>
        <v>0</v>
      </c>
    </row>
    <row r="282" spans="1:15">
      <c r="A282" s="3" t="s">
        <v>72</v>
      </c>
      <c r="B282" s="5">
        <v>45717</v>
      </c>
      <c r="C282" s="3" t="s">
        <v>15</v>
      </c>
      <c r="D282" s="3" t="s">
        <v>21</v>
      </c>
      <c r="E282" s="3">
        <v>35203.230000000003</v>
      </c>
      <c r="F282" s="3">
        <v>6896</v>
      </c>
      <c r="G282" s="7">
        <v>3.2000000000000001E-2</v>
      </c>
      <c r="H282" s="3">
        <v>14</v>
      </c>
      <c r="I282" s="3">
        <v>80.8</v>
      </c>
      <c r="J282" s="3">
        <v>8.44</v>
      </c>
      <c r="K282" s="3">
        <v>1</v>
      </c>
      <c r="L282" s="3">
        <v>5</v>
      </c>
      <c r="M282" s="3">
        <v>607084.92000000004</v>
      </c>
      <c r="N282" s="3">
        <v>98558.49</v>
      </c>
      <c r="O282">
        <f t="shared" si="4"/>
        <v>1</v>
      </c>
    </row>
    <row r="283" spans="1:15">
      <c r="A283" s="3" t="s">
        <v>92</v>
      </c>
      <c r="B283" s="5">
        <v>45689</v>
      </c>
      <c r="C283" s="3" t="s">
        <v>24</v>
      </c>
      <c r="D283" s="3" t="s">
        <v>18</v>
      </c>
      <c r="E283" s="3">
        <v>34771.26</v>
      </c>
      <c r="F283" s="3">
        <v>4355</v>
      </c>
      <c r="G283" s="7">
        <v>5.0999999999999997E-2</v>
      </c>
      <c r="H283" s="3">
        <v>15</v>
      </c>
      <c r="I283" s="3">
        <v>87.9</v>
      </c>
      <c r="J283" s="3">
        <v>3.09</v>
      </c>
      <c r="K283" s="3">
        <v>0</v>
      </c>
      <c r="L283" s="3">
        <v>4</v>
      </c>
      <c r="M283" s="3">
        <v>555557.77</v>
      </c>
      <c r="N283" s="3">
        <v>86475.51</v>
      </c>
      <c r="O283">
        <f t="shared" si="4"/>
        <v>0</v>
      </c>
    </row>
    <row r="284" spans="1:15">
      <c r="A284" s="3" t="s">
        <v>19</v>
      </c>
      <c r="B284" s="5">
        <v>45717</v>
      </c>
      <c r="C284" s="3" t="s">
        <v>20</v>
      </c>
      <c r="D284" s="3" t="s">
        <v>21</v>
      </c>
      <c r="E284" s="3">
        <v>34285.21</v>
      </c>
      <c r="F284" s="3">
        <v>9172</v>
      </c>
      <c r="G284" s="7">
        <v>0.21299999999999999</v>
      </c>
      <c r="H284" s="3">
        <v>22</v>
      </c>
      <c r="I284" s="3">
        <v>88.3</v>
      </c>
      <c r="J284" s="3">
        <v>10.46</v>
      </c>
      <c r="K284" s="3">
        <v>1</v>
      </c>
      <c r="L284" s="3">
        <v>3.8</v>
      </c>
      <c r="M284" s="3">
        <v>723060.76</v>
      </c>
      <c r="N284" s="3">
        <v>123131.24</v>
      </c>
      <c r="O284">
        <f t="shared" si="4"/>
        <v>0</v>
      </c>
    </row>
    <row r="285" spans="1:15">
      <c r="A285" s="3" t="s">
        <v>76</v>
      </c>
      <c r="B285" s="5">
        <v>45689</v>
      </c>
      <c r="C285" s="3" t="s">
        <v>20</v>
      </c>
      <c r="D285" s="3" t="s">
        <v>21</v>
      </c>
      <c r="E285" s="3">
        <v>33987.33</v>
      </c>
      <c r="F285" s="3">
        <v>5014</v>
      </c>
      <c r="G285" s="7">
        <v>0.246</v>
      </c>
      <c r="H285" s="3">
        <v>17</v>
      </c>
      <c r="I285" s="3">
        <v>94.3</v>
      </c>
      <c r="J285" s="3">
        <v>10.34</v>
      </c>
      <c r="K285" s="3">
        <v>0</v>
      </c>
      <c r="L285" s="3">
        <v>3.9</v>
      </c>
      <c r="M285" s="3">
        <v>622892.42000000004</v>
      </c>
      <c r="N285" s="3">
        <v>101032.52</v>
      </c>
      <c r="O285">
        <f t="shared" si="4"/>
        <v>0</v>
      </c>
    </row>
    <row r="286" spans="1:15">
      <c r="A286" s="3" t="s">
        <v>50</v>
      </c>
      <c r="B286" s="5">
        <v>45717</v>
      </c>
      <c r="C286" s="3" t="s">
        <v>27</v>
      </c>
      <c r="D286" s="3" t="s">
        <v>28</v>
      </c>
      <c r="E286" s="3">
        <v>33605.18</v>
      </c>
      <c r="F286" s="3">
        <v>9225</v>
      </c>
      <c r="G286" s="7">
        <v>0.159</v>
      </c>
      <c r="H286" s="3">
        <v>23</v>
      </c>
      <c r="I286" s="3">
        <v>88.4</v>
      </c>
      <c r="J286" s="3">
        <v>5.91</v>
      </c>
      <c r="K286" s="3">
        <v>0</v>
      </c>
      <c r="L286" s="3">
        <v>2.8</v>
      </c>
      <c r="M286" s="3">
        <v>697287.9</v>
      </c>
      <c r="N286" s="3">
        <v>128208.33</v>
      </c>
      <c r="O286">
        <f t="shared" si="4"/>
        <v>0</v>
      </c>
    </row>
    <row r="287" spans="1:15">
      <c r="A287" s="3" t="s">
        <v>25</v>
      </c>
      <c r="B287" s="5">
        <v>45689</v>
      </c>
      <c r="C287" s="3" t="s">
        <v>20</v>
      </c>
      <c r="D287" s="3" t="s">
        <v>16</v>
      </c>
      <c r="E287" s="3">
        <v>33518.879999999997</v>
      </c>
      <c r="F287" s="3">
        <v>2121</v>
      </c>
      <c r="G287" s="7">
        <v>0.17599999999999999</v>
      </c>
      <c r="H287" s="3">
        <v>8</v>
      </c>
      <c r="I287" s="3">
        <v>88.5</v>
      </c>
      <c r="J287" s="3">
        <v>0.2</v>
      </c>
      <c r="K287" s="3">
        <v>0</v>
      </c>
      <c r="L287" s="3">
        <v>5</v>
      </c>
      <c r="M287" s="3">
        <v>491905.13</v>
      </c>
      <c r="N287" s="3">
        <v>79212.259999999995</v>
      </c>
      <c r="O287">
        <f t="shared" si="4"/>
        <v>0</v>
      </c>
    </row>
    <row r="288" spans="1:15">
      <c r="A288" s="3" t="s">
        <v>79</v>
      </c>
      <c r="B288" s="5">
        <v>45717</v>
      </c>
      <c r="C288" s="3" t="s">
        <v>15</v>
      </c>
      <c r="D288" s="3" t="s">
        <v>18</v>
      </c>
      <c r="E288" s="3">
        <v>33173.949999999997</v>
      </c>
      <c r="F288" s="3">
        <v>6545</v>
      </c>
      <c r="G288" s="7">
        <v>0.16900000000000001</v>
      </c>
      <c r="H288" s="3">
        <v>15</v>
      </c>
      <c r="I288" s="3">
        <v>84.4</v>
      </c>
      <c r="J288" s="3">
        <v>2.48</v>
      </c>
      <c r="K288" s="3">
        <v>0</v>
      </c>
      <c r="L288" s="3">
        <v>3.9</v>
      </c>
      <c r="M288" s="3">
        <v>596969.27</v>
      </c>
      <c r="N288" s="3">
        <v>105669.51</v>
      </c>
      <c r="O288">
        <f t="shared" si="4"/>
        <v>1</v>
      </c>
    </row>
    <row r="289" spans="1:15">
      <c r="A289" s="3" t="s">
        <v>64</v>
      </c>
      <c r="B289" s="5">
        <v>45689</v>
      </c>
      <c r="C289" s="3" t="s">
        <v>15</v>
      </c>
      <c r="D289" s="3" t="s">
        <v>16</v>
      </c>
      <c r="E289" s="3">
        <v>32834.480000000003</v>
      </c>
      <c r="F289" s="3">
        <v>7576</v>
      </c>
      <c r="G289" s="7">
        <v>9.9000000000000005E-2</v>
      </c>
      <c r="H289" s="3">
        <v>15</v>
      </c>
      <c r="I289" s="3">
        <v>84.1</v>
      </c>
      <c r="J289" s="3">
        <v>3.48</v>
      </c>
      <c r="K289" s="3">
        <v>0</v>
      </c>
      <c r="L289" s="3">
        <v>5</v>
      </c>
      <c r="M289" s="3">
        <v>593637.14</v>
      </c>
      <c r="N289" s="3">
        <v>106648.14</v>
      </c>
      <c r="O289">
        <f t="shared" si="4"/>
        <v>1</v>
      </c>
    </row>
    <row r="290" spans="1:15">
      <c r="A290" s="3" t="s">
        <v>47</v>
      </c>
      <c r="B290" s="5">
        <v>45748</v>
      </c>
      <c r="C290" s="3" t="s">
        <v>15</v>
      </c>
      <c r="D290" s="3" t="s">
        <v>28</v>
      </c>
      <c r="E290" s="3">
        <v>32266.639999999999</v>
      </c>
      <c r="F290" s="3">
        <v>2414</v>
      </c>
      <c r="G290" s="7">
        <v>0.08</v>
      </c>
      <c r="H290" s="3">
        <v>7</v>
      </c>
      <c r="I290" s="3">
        <v>92.1</v>
      </c>
      <c r="J290" s="3">
        <v>1.48</v>
      </c>
      <c r="K290" s="3">
        <v>0</v>
      </c>
      <c r="L290" s="3">
        <v>5</v>
      </c>
      <c r="M290" s="3">
        <v>625514.04</v>
      </c>
      <c r="N290" s="3">
        <v>120685.08</v>
      </c>
      <c r="O290">
        <f t="shared" si="4"/>
        <v>1</v>
      </c>
    </row>
    <row r="291" spans="1:15">
      <c r="A291" s="3" t="s">
        <v>97</v>
      </c>
      <c r="B291" s="5">
        <v>45748</v>
      </c>
      <c r="C291" s="3" t="s">
        <v>20</v>
      </c>
      <c r="D291" s="3" t="s">
        <v>28</v>
      </c>
      <c r="E291" s="3">
        <v>31997.25</v>
      </c>
      <c r="F291" s="3">
        <v>8183</v>
      </c>
      <c r="G291" s="7">
        <v>0.19800000000000001</v>
      </c>
      <c r="H291" s="3">
        <v>18</v>
      </c>
      <c r="I291" s="3">
        <v>93</v>
      </c>
      <c r="J291" s="3">
        <v>2.79</v>
      </c>
      <c r="K291" s="3">
        <v>0</v>
      </c>
      <c r="L291" s="3">
        <v>4.2</v>
      </c>
      <c r="M291" s="3">
        <v>780580.95</v>
      </c>
      <c r="N291" s="3">
        <v>138144.46</v>
      </c>
      <c r="O291">
        <f t="shared" si="4"/>
        <v>0</v>
      </c>
    </row>
    <row r="292" spans="1:15">
      <c r="A292" s="3" t="s">
        <v>44</v>
      </c>
      <c r="B292" s="5">
        <v>45748</v>
      </c>
      <c r="C292" s="3" t="s">
        <v>24</v>
      </c>
      <c r="D292" s="3" t="s">
        <v>28</v>
      </c>
      <c r="E292" s="3">
        <v>31207.51</v>
      </c>
      <c r="F292" s="3">
        <v>3701</v>
      </c>
      <c r="G292" s="7">
        <v>4.2999999999999997E-2</v>
      </c>
      <c r="H292" s="3">
        <v>11</v>
      </c>
      <c r="I292" s="3">
        <v>84.7</v>
      </c>
      <c r="J292" s="3">
        <v>0.33</v>
      </c>
      <c r="K292" s="3">
        <v>0</v>
      </c>
      <c r="L292" s="3">
        <v>4.3</v>
      </c>
      <c r="M292" s="3">
        <v>586307.22</v>
      </c>
      <c r="N292" s="3">
        <v>73927.850000000006</v>
      </c>
      <c r="O292">
        <f t="shared" si="4"/>
        <v>0</v>
      </c>
    </row>
    <row r="293" spans="1:15">
      <c r="A293" s="3" t="s">
        <v>48</v>
      </c>
      <c r="B293" s="5">
        <v>45748</v>
      </c>
      <c r="C293" s="3" t="s">
        <v>27</v>
      </c>
      <c r="D293" s="3" t="s">
        <v>18</v>
      </c>
      <c r="E293" s="3">
        <v>31042.03</v>
      </c>
      <c r="F293" s="3">
        <v>7107</v>
      </c>
      <c r="G293" s="7">
        <v>5.0999999999999997E-2</v>
      </c>
      <c r="H293" s="3">
        <v>15</v>
      </c>
      <c r="I293" s="3">
        <v>87</v>
      </c>
      <c r="J293" s="3">
        <v>13.33</v>
      </c>
      <c r="K293" s="3">
        <v>0</v>
      </c>
      <c r="L293" s="3">
        <v>3.2</v>
      </c>
      <c r="M293" s="3">
        <v>665594.93999999994</v>
      </c>
      <c r="N293" s="3">
        <v>127597.34</v>
      </c>
      <c r="O293">
        <f t="shared" si="4"/>
        <v>0</v>
      </c>
    </row>
    <row r="294" spans="1:15">
      <c r="A294" s="3" t="s">
        <v>25</v>
      </c>
      <c r="B294" s="5">
        <v>45658</v>
      </c>
      <c r="C294" s="3" t="s">
        <v>20</v>
      </c>
      <c r="D294" s="3" t="s">
        <v>16</v>
      </c>
      <c r="E294" s="3">
        <v>30356.28</v>
      </c>
      <c r="F294" s="3">
        <v>2822</v>
      </c>
      <c r="G294" s="7">
        <v>0.23100000000000001</v>
      </c>
      <c r="H294" s="3">
        <v>9</v>
      </c>
      <c r="I294" s="3">
        <v>84.8</v>
      </c>
      <c r="J294" s="3">
        <v>6.95</v>
      </c>
      <c r="K294" s="3">
        <v>0</v>
      </c>
      <c r="L294" s="3">
        <v>5</v>
      </c>
      <c r="M294" s="3">
        <v>415721.82</v>
      </c>
      <c r="N294" s="3">
        <v>61179.15</v>
      </c>
      <c r="O294">
        <f t="shared" si="4"/>
        <v>0</v>
      </c>
    </row>
    <row r="295" spans="1:15">
      <c r="A295" s="3" t="s">
        <v>63</v>
      </c>
      <c r="B295" s="5">
        <v>45717</v>
      </c>
      <c r="C295" s="3" t="s">
        <v>20</v>
      </c>
      <c r="D295" s="3" t="s">
        <v>28</v>
      </c>
      <c r="E295" s="3">
        <v>30301.86</v>
      </c>
      <c r="F295" s="3">
        <v>6939</v>
      </c>
      <c r="G295" s="7">
        <v>0.09</v>
      </c>
      <c r="H295" s="3">
        <v>16</v>
      </c>
      <c r="I295" s="3">
        <v>90.3</v>
      </c>
      <c r="J295" s="3">
        <v>3.49</v>
      </c>
      <c r="K295" s="3">
        <v>0</v>
      </c>
      <c r="L295" s="3">
        <v>4</v>
      </c>
      <c r="M295" s="3">
        <v>665534.69999999995</v>
      </c>
      <c r="N295" s="3">
        <v>113167.73</v>
      </c>
      <c r="O295">
        <f t="shared" si="4"/>
        <v>0</v>
      </c>
    </row>
    <row r="296" spans="1:15">
      <c r="A296" s="3" t="s">
        <v>66</v>
      </c>
      <c r="B296" s="5">
        <v>45689</v>
      </c>
      <c r="C296" s="3" t="s">
        <v>27</v>
      </c>
      <c r="D296" s="3" t="s">
        <v>21</v>
      </c>
      <c r="E296" s="3">
        <v>29389.32</v>
      </c>
      <c r="F296" s="3">
        <v>7925</v>
      </c>
      <c r="G296" s="7">
        <v>0.17699999999999999</v>
      </c>
      <c r="H296" s="3">
        <v>21</v>
      </c>
      <c r="I296" s="3">
        <v>90.9</v>
      </c>
      <c r="J296" s="3">
        <v>7.86</v>
      </c>
      <c r="K296" s="3">
        <v>0</v>
      </c>
      <c r="L296" s="3">
        <v>4</v>
      </c>
      <c r="M296" s="3">
        <v>783582</v>
      </c>
      <c r="N296" s="3">
        <v>130670.93</v>
      </c>
      <c r="O296">
        <f t="shared" si="4"/>
        <v>0</v>
      </c>
    </row>
    <row r="297" spans="1:15">
      <c r="A297" s="3" t="s">
        <v>89</v>
      </c>
      <c r="B297" s="5">
        <v>45748</v>
      </c>
      <c r="C297" s="3" t="s">
        <v>15</v>
      </c>
      <c r="D297" s="3" t="s">
        <v>28</v>
      </c>
      <c r="E297" s="3">
        <v>29344.93</v>
      </c>
      <c r="F297" s="3">
        <v>7446</v>
      </c>
      <c r="G297" s="7">
        <v>0.111</v>
      </c>
      <c r="H297" s="3">
        <v>15</v>
      </c>
      <c r="I297" s="3">
        <v>86.2</v>
      </c>
      <c r="J297" s="3">
        <v>0.2</v>
      </c>
      <c r="K297" s="3">
        <v>0</v>
      </c>
      <c r="L297" s="3">
        <v>3.2</v>
      </c>
      <c r="M297" s="3">
        <v>593343</v>
      </c>
      <c r="N297" s="3">
        <v>82832.240000000005</v>
      </c>
      <c r="O297">
        <f t="shared" si="4"/>
        <v>1</v>
      </c>
    </row>
    <row r="298" spans="1:15">
      <c r="A298" s="3" t="s">
        <v>86</v>
      </c>
      <c r="B298" s="5">
        <v>45689</v>
      </c>
      <c r="C298" s="3" t="s">
        <v>24</v>
      </c>
      <c r="D298" s="3" t="s">
        <v>28</v>
      </c>
      <c r="E298" s="3">
        <v>28670.43</v>
      </c>
      <c r="F298" s="3">
        <v>7574</v>
      </c>
      <c r="G298" s="7">
        <v>0.114</v>
      </c>
      <c r="H298" s="3">
        <v>19</v>
      </c>
      <c r="I298" s="3">
        <v>82.7</v>
      </c>
      <c r="J298" s="3">
        <v>2.74</v>
      </c>
      <c r="K298" s="3">
        <v>0</v>
      </c>
      <c r="L298" s="3">
        <v>4.5999999999999996</v>
      </c>
      <c r="M298" s="3">
        <v>697888.09</v>
      </c>
      <c r="N298" s="3">
        <v>116249.87</v>
      </c>
      <c r="O298">
        <f t="shared" si="4"/>
        <v>0</v>
      </c>
    </row>
    <row r="299" spans="1:15">
      <c r="A299" s="3" t="s">
        <v>35</v>
      </c>
      <c r="B299" s="5">
        <v>45748</v>
      </c>
      <c r="C299" s="3" t="s">
        <v>27</v>
      </c>
      <c r="D299" s="3" t="s">
        <v>18</v>
      </c>
      <c r="E299" s="3">
        <v>27808.6</v>
      </c>
      <c r="F299" s="3">
        <v>2863</v>
      </c>
      <c r="G299" s="7">
        <v>0.08</v>
      </c>
      <c r="H299" s="3">
        <v>13</v>
      </c>
      <c r="I299" s="3">
        <v>89.3</v>
      </c>
      <c r="J299" s="3">
        <v>0.47</v>
      </c>
      <c r="K299" s="3">
        <v>0</v>
      </c>
      <c r="L299" s="3">
        <v>4.0999999999999996</v>
      </c>
      <c r="M299" s="3">
        <v>487464.91</v>
      </c>
      <c r="N299" s="3">
        <v>64562.26</v>
      </c>
      <c r="O299">
        <f t="shared" si="4"/>
        <v>0</v>
      </c>
    </row>
    <row r="300" spans="1:15">
      <c r="A300" s="3" t="s">
        <v>95</v>
      </c>
      <c r="B300" s="5">
        <v>45748</v>
      </c>
      <c r="C300" s="3" t="s">
        <v>27</v>
      </c>
      <c r="D300" s="3" t="s">
        <v>18</v>
      </c>
      <c r="E300" s="3">
        <v>27398.28</v>
      </c>
      <c r="F300" s="3">
        <v>1723</v>
      </c>
      <c r="G300" s="7">
        <v>0.17100000000000001</v>
      </c>
      <c r="H300" s="3">
        <v>9</v>
      </c>
      <c r="I300" s="3">
        <v>81</v>
      </c>
      <c r="J300" s="3">
        <v>0.74</v>
      </c>
      <c r="K300" s="3">
        <v>0</v>
      </c>
      <c r="L300" s="3">
        <v>4.5999999999999996</v>
      </c>
      <c r="M300" s="3">
        <v>487738.26</v>
      </c>
      <c r="N300" s="3">
        <v>96435.6</v>
      </c>
      <c r="O300">
        <f t="shared" si="4"/>
        <v>0</v>
      </c>
    </row>
    <row r="301" spans="1:15">
      <c r="A301" s="3" t="s">
        <v>77</v>
      </c>
      <c r="B301" s="5">
        <v>45689</v>
      </c>
      <c r="C301" s="3" t="s">
        <v>15</v>
      </c>
      <c r="D301" s="3" t="s">
        <v>18</v>
      </c>
      <c r="E301" s="3">
        <v>27194.639999999999</v>
      </c>
      <c r="F301" s="3">
        <v>7404</v>
      </c>
      <c r="G301" s="7">
        <v>8.7999999999999995E-2</v>
      </c>
      <c r="H301" s="3">
        <v>18</v>
      </c>
      <c r="I301" s="3">
        <v>90.2</v>
      </c>
      <c r="J301" s="3">
        <v>1.2</v>
      </c>
      <c r="K301" s="3">
        <v>0</v>
      </c>
      <c r="L301" s="3">
        <v>3.4</v>
      </c>
      <c r="M301" s="3">
        <v>672670.54</v>
      </c>
      <c r="N301" s="3">
        <v>132684.18</v>
      </c>
      <c r="O301">
        <f t="shared" si="4"/>
        <v>1</v>
      </c>
    </row>
    <row r="302" spans="1:15">
      <c r="A302" s="3" t="s">
        <v>81</v>
      </c>
      <c r="B302" s="5">
        <v>45748</v>
      </c>
      <c r="C302" s="3" t="s">
        <v>27</v>
      </c>
      <c r="D302" s="3" t="s">
        <v>28</v>
      </c>
      <c r="E302" s="3">
        <v>26248.1</v>
      </c>
      <c r="F302" s="3">
        <v>9314</v>
      </c>
      <c r="G302" s="7">
        <v>0.186</v>
      </c>
      <c r="H302" s="3">
        <v>21</v>
      </c>
      <c r="I302" s="3">
        <v>83.7</v>
      </c>
      <c r="J302" s="3">
        <v>4.62</v>
      </c>
      <c r="K302" s="3">
        <v>0</v>
      </c>
      <c r="L302" s="3">
        <v>3.3</v>
      </c>
      <c r="M302" s="3">
        <v>737070.18</v>
      </c>
      <c r="N302" s="3">
        <v>117593.97</v>
      </c>
      <c r="O302">
        <f t="shared" si="4"/>
        <v>0</v>
      </c>
    </row>
    <row r="303" spans="1:15">
      <c r="A303" s="3" t="s">
        <v>50</v>
      </c>
      <c r="B303" s="5">
        <v>45748</v>
      </c>
      <c r="C303" s="3" t="s">
        <v>27</v>
      </c>
      <c r="D303" s="3" t="s">
        <v>28</v>
      </c>
      <c r="E303" s="3">
        <v>25990.54</v>
      </c>
      <c r="F303" s="3">
        <v>9249</v>
      </c>
      <c r="G303" s="7">
        <v>0.13900000000000001</v>
      </c>
      <c r="H303" s="3">
        <v>23</v>
      </c>
      <c r="I303" s="3">
        <v>92.5</v>
      </c>
      <c r="J303" s="3">
        <v>6.37</v>
      </c>
      <c r="K303" s="3">
        <v>0</v>
      </c>
      <c r="L303" s="3">
        <v>3.3</v>
      </c>
      <c r="M303" s="3">
        <v>718074.79</v>
      </c>
      <c r="N303" s="3">
        <v>115819.87</v>
      </c>
      <c r="O303">
        <f t="shared" si="4"/>
        <v>0</v>
      </c>
    </row>
    <row r="304" spans="1:15">
      <c r="A304" s="3" t="s">
        <v>79</v>
      </c>
      <c r="B304" s="5">
        <v>45748</v>
      </c>
      <c r="C304" s="3" t="s">
        <v>15</v>
      </c>
      <c r="D304" s="3" t="s">
        <v>18</v>
      </c>
      <c r="E304" s="3">
        <v>25818.080000000002</v>
      </c>
      <c r="F304" s="3">
        <v>5457</v>
      </c>
      <c r="G304" s="7">
        <v>0</v>
      </c>
      <c r="H304" s="3">
        <v>11</v>
      </c>
      <c r="I304" s="3">
        <v>95.4</v>
      </c>
      <c r="J304" s="3">
        <v>4.55</v>
      </c>
      <c r="K304" s="3">
        <v>0</v>
      </c>
      <c r="L304" s="3">
        <v>3.7</v>
      </c>
      <c r="M304" s="3">
        <v>647512.85</v>
      </c>
      <c r="N304" s="3">
        <v>153835.57</v>
      </c>
      <c r="O304">
        <f t="shared" si="4"/>
        <v>1</v>
      </c>
    </row>
    <row r="305" spans="1:15">
      <c r="A305" s="3" t="s">
        <v>96</v>
      </c>
      <c r="B305" s="5">
        <v>45748</v>
      </c>
      <c r="C305" s="3" t="s">
        <v>27</v>
      </c>
      <c r="D305" s="3" t="s">
        <v>18</v>
      </c>
      <c r="E305" s="3">
        <v>24362.98</v>
      </c>
      <c r="F305" s="3">
        <v>1462</v>
      </c>
      <c r="G305" s="7">
        <v>0.11700000000000001</v>
      </c>
      <c r="H305" s="3">
        <v>6</v>
      </c>
      <c r="I305" s="3">
        <v>89.3</v>
      </c>
      <c r="J305" s="3">
        <v>15.06</v>
      </c>
      <c r="K305" s="3">
        <v>0</v>
      </c>
      <c r="L305" s="3">
        <v>3.2</v>
      </c>
      <c r="M305" s="3">
        <v>401582.58</v>
      </c>
      <c r="N305" s="3">
        <v>68454.929999999993</v>
      </c>
      <c r="O305">
        <f t="shared" si="4"/>
        <v>0</v>
      </c>
    </row>
    <row r="306" spans="1:15">
      <c r="A306" s="3" t="s">
        <v>101</v>
      </c>
      <c r="B306" s="5">
        <v>45689</v>
      </c>
      <c r="C306" s="3" t="s">
        <v>15</v>
      </c>
      <c r="D306" s="3" t="s">
        <v>16</v>
      </c>
      <c r="E306" s="3">
        <v>24088.06</v>
      </c>
      <c r="F306" s="3">
        <v>3466</v>
      </c>
      <c r="G306" s="7">
        <v>0</v>
      </c>
      <c r="H306" s="3">
        <v>11</v>
      </c>
      <c r="I306" s="3">
        <v>88</v>
      </c>
      <c r="J306" s="3">
        <v>0.2</v>
      </c>
      <c r="K306" s="3">
        <v>0</v>
      </c>
      <c r="L306" s="3">
        <v>3.8</v>
      </c>
      <c r="M306" s="3">
        <v>536845.42000000004</v>
      </c>
      <c r="N306" s="3">
        <v>107473.75</v>
      </c>
      <c r="O306">
        <f t="shared" si="4"/>
        <v>1</v>
      </c>
    </row>
    <row r="307" spans="1:15">
      <c r="A307" s="3" t="s">
        <v>89</v>
      </c>
      <c r="B307" s="5">
        <v>45689</v>
      </c>
      <c r="C307" s="3" t="s">
        <v>15</v>
      </c>
      <c r="D307" s="3" t="s">
        <v>28</v>
      </c>
      <c r="E307" s="3">
        <v>23914.97</v>
      </c>
      <c r="F307" s="3">
        <v>8018</v>
      </c>
      <c r="G307" s="7">
        <v>0.13900000000000001</v>
      </c>
      <c r="H307" s="3">
        <v>20</v>
      </c>
      <c r="I307" s="3">
        <v>89</v>
      </c>
      <c r="J307" s="3">
        <v>0.2</v>
      </c>
      <c r="K307" s="3">
        <v>0</v>
      </c>
      <c r="L307" s="3">
        <v>3.5</v>
      </c>
      <c r="M307" s="3">
        <v>739374.56</v>
      </c>
      <c r="N307" s="3">
        <v>121032.29</v>
      </c>
      <c r="O307">
        <f t="shared" si="4"/>
        <v>1</v>
      </c>
    </row>
    <row r="308" spans="1:15">
      <c r="A308" s="3" t="s">
        <v>99</v>
      </c>
      <c r="B308" s="5">
        <v>45689</v>
      </c>
      <c r="C308" s="3" t="s">
        <v>24</v>
      </c>
      <c r="D308" s="3" t="s">
        <v>18</v>
      </c>
      <c r="E308" s="3">
        <v>23702.38</v>
      </c>
      <c r="F308" s="3">
        <v>5285</v>
      </c>
      <c r="G308" s="7">
        <v>0.16700000000000001</v>
      </c>
      <c r="H308" s="3">
        <v>14</v>
      </c>
      <c r="I308" s="3">
        <v>79.7</v>
      </c>
      <c r="J308" s="3">
        <v>1.1000000000000001</v>
      </c>
      <c r="K308" s="3">
        <v>0</v>
      </c>
      <c r="L308" s="3">
        <v>4.3</v>
      </c>
      <c r="M308" s="3">
        <v>536524.84</v>
      </c>
      <c r="N308" s="3">
        <v>92752.94</v>
      </c>
      <c r="O308">
        <f t="shared" si="4"/>
        <v>0</v>
      </c>
    </row>
    <row r="309" spans="1:15">
      <c r="A309" s="3" t="s">
        <v>61</v>
      </c>
      <c r="B309" s="5">
        <v>45748</v>
      </c>
      <c r="C309" s="3" t="s">
        <v>20</v>
      </c>
      <c r="D309" s="3" t="s">
        <v>28</v>
      </c>
      <c r="E309" s="3">
        <v>23254.57</v>
      </c>
      <c r="F309" s="3">
        <v>3847</v>
      </c>
      <c r="G309" s="7">
        <v>0.159</v>
      </c>
      <c r="H309" s="3">
        <v>12</v>
      </c>
      <c r="I309" s="3">
        <v>93</v>
      </c>
      <c r="J309" s="3">
        <v>5.46</v>
      </c>
      <c r="K309" s="3">
        <v>0</v>
      </c>
      <c r="L309" s="3">
        <v>3.3</v>
      </c>
      <c r="M309" s="3">
        <v>620973.03</v>
      </c>
      <c r="N309" s="3">
        <v>72303.850000000006</v>
      </c>
      <c r="O309">
        <f t="shared" si="4"/>
        <v>0</v>
      </c>
    </row>
    <row r="310" spans="1:15">
      <c r="A310" s="3" t="s">
        <v>98</v>
      </c>
      <c r="B310" s="5">
        <v>45717</v>
      </c>
      <c r="C310" s="3" t="s">
        <v>24</v>
      </c>
      <c r="D310" s="3" t="s">
        <v>16</v>
      </c>
      <c r="E310" s="3">
        <v>22387.26</v>
      </c>
      <c r="F310" s="3">
        <v>6301</v>
      </c>
      <c r="G310" s="7">
        <v>0.14599999999999999</v>
      </c>
      <c r="H310" s="3">
        <v>14</v>
      </c>
      <c r="I310" s="3">
        <v>85.9</v>
      </c>
      <c r="J310" s="3">
        <v>1.17</v>
      </c>
      <c r="K310" s="3">
        <v>1</v>
      </c>
      <c r="L310" s="3">
        <v>3.7</v>
      </c>
      <c r="M310" s="3">
        <v>665342.49</v>
      </c>
      <c r="N310" s="3">
        <v>93441.81</v>
      </c>
      <c r="O310">
        <f t="shared" si="4"/>
        <v>0</v>
      </c>
    </row>
    <row r="311" spans="1:15">
      <c r="A311" s="3" t="s">
        <v>72</v>
      </c>
      <c r="B311" s="5">
        <v>45658</v>
      </c>
      <c r="C311" s="3" t="s">
        <v>15</v>
      </c>
      <c r="D311" s="3" t="s">
        <v>21</v>
      </c>
      <c r="E311" s="3">
        <v>22312.93</v>
      </c>
      <c r="F311" s="3">
        <v>5955</v>
      </c>
      <c r="G311" s="7">
        <v>0.123</v>
      </c>
      <c r="H311" s="3">
        <v>13</v>
      </c>
      <c r="I311" s="3">
        <v>84.2</v>
      </c>
      <c r="J311" s="3">
        <v>0.41</v>
      </c>
      <c r="K311" s="3">
        <v>1</v>
      </c>
      <c r="L311" s="3">
        <v>4.5999999999999996</v>
      </c>
      <c r="M311" s="3">
        <v>598904.9</v>
      </c>
      <c r="N311" s="3">
        <v>72861</v>
      </c>
      <c r="O311">
        <f t="shared" si="4"/>
        <v>1</v>
      </c>
    </row>
    <row r="312" spans="1:15">
      <c r="A312" s="3" t="s">
        <v>55</v>
      </c>
      <c r="B312" s="5">
        <v>45689</v>
      </c>
      <c r="C312" s="3" t="s">
        <v>20</v>
      </c>
      <c r="D312" s="3" t="s">
        <v>18</v>
      </c>
      <c r="E312" s="3">
        <v>22071.64</v>
      </c>
      <c r="F312" s="3">
        <v>1814</v>
      </c>
      <c r="G312" s="7">
        <v>0.19600000000000001</v>
      </c>
      <c r="H312" s="3">
        <v>8</v>
      </c>
      <c r="I312" s="3">
        <v>81.099999999999994</v>
      </c>
      <c r="J312" s="3">
        <v>0.78</v>
      </c>
      <c r="K312" s="3">
        <v>0</v>
      </c>
      <c r="L312" s="3">
        <v>3.92</v>
      </c>
      <c r="M312" s="3">
        <v>400831.65</v>
      </c>
      <c r="N312" s="3">
        <v>70979.31</v>
      </c>
      <c r="O312">
        <f t="shared" si="4"/>
        <v>0</v>
      </c>
    </row>
    <row r="313" spans="1:15">
      <c r="A313" s="3" t="s">
        <v>83</v>
      </c>
      <c r="B313" s="5">
        <v>45748</v>
      </c>
      <c r="C313" s="3" t="s">
        <v>15</v>
      </c>
      <c r="D313" s="3" t="s">
        <v>18</v>
      </c>
      <c r="E313" s="3">
        <v>21536.18</v>
      </c>
      <c r="F313" s="3">
        <v>8119</v>
      </c>
      <c r="G313" s="7">
        <v>0.22700000000000001</v>
      </c>
      <c r="H313" s="3">
        <v>20</v>
      </c>
      <c r="I313" s="3">
        <v>90.4</v>
      </c>
      <c r="J313" s="3">
        <v>1.7</v>
      </c>
      <c r="K313" s="3">
        <v>0</v>
      </c>
      <c r="L313" s="4">
        <v>3.3</v>
      </c>
      <c r="M313" s="3">
        <v>679888.74</v>
      </c>
      <c r="N313" s="3">
        <v>83406.89</v>
      </c>
      <c r="O313">
        <f t="shared" si="4"/>
        <v>1</v>
      </c>
    </row>
    <row r="314" spans="1:15">
      <c r="A314" s="3" t="s">
        <v>36</v>
      </c>
      <c r="B314" s="5">
        <v>45658</v>
      </c>
      <c r="C314" s="3" t="s">
        <v>15</v>
      </c>
      <c r="D314" s="3" t="s">
        <v>21</v>
      </c>
      <c r="E314" s="3">
        <v>19365.060000000001</v>
      </c>
      <c r="F314" s="3">
        <v>2378</v>
      </c>
      <c r="G314" s="7">
        <v>0</v>
      </c>
      <c r="H314" s="3">
        <v>12</v>
      </c>
      <c r="I314" s="3">
        <v>94.8</v>
      </c>
      <c r="J314" s="3">
        <v>0.2</v>
      </c>
      <c r="K314" s="3">
        <v>0</v>
      </c>
      <c r="L314" s="3">
        <v>3.5</v>
      </c>
      <c r="M314" s="3">
        <v>518049.26</v>
      </c>
      <c r="N314" s="3">
        <v>108592.49</v>
      </c>
      <c r="O314">
        <f t="shared" si="4"/>
        <v>1</v>
      </c>
    </row>
    <row r="315" spans="1:15">
      <c r="A315" s="3" t="s">
        <v>52</v>
      </c>
      <c r="B315" s="5">
        <v>45748</v>
      </c>
      <c r="C315" s="3" t="s">
        <v>20</v>
      </c>
      <c r="D315" s="3" t="s">
        <v>18</v>
      </c>
      <c r="E315" s="3">
        <v>19063.48</v>
      </c>
      <c r="F315" s="3">
        <v>1906</v>
      </c>
      <c r="G315" s="7">
        <v>0.216</v>
      </c>
      <c r="H315" s="3">
        <v>10</v>
      </c>
      <c r="I315" s="3">
        <v>97.8</v>
      </c>
      <c r="J315" s="3">
        <v>15.79</v>
      </c>
      <c r="K315" s="3">
        <v>0</v>
      </c>
      <c r="L315" s="4">
        <v>4.4000000000000004</v>
      </c>
      <c r="M315" s="3">
        <v>441275.42</v>
      </c>
      <c r="N315" s="3">
        <v>58234.87</v>
      </c>
      <c r="O315">
        <f t="shared" si="4"/>
        <v>0</v>
      </c>
    </row>
    <row r="316" spans="1:15">
      <c r="A316" s="3" t="s">
        <v>43</v>
      </c>
      <c r="B316" s="5">
        <v>45748</v>
      </c>
      <c r="C316" s="3" t="s">
        <v>27</v>
      </c>
      <c r="D316" s="3" t="s">
        <v>18</v>
      </c>
      <c r="E316" s="3">
        <v>18996.32</v>
      </c>
      <c r="F316" s="3">
        <v>1260</v>
      </c>
      <c r="G316" s="7">
        <v>0.14499999999999999</v>
      </c>
      <c r="H316" s="3">
        <v>9</v>
      </c>
      <c r="I316" s="3">
        <v>86.4</v>
      </c>
      <c r="J316" s="3">
        <v>4.3099999999999996</v>
      </c>
      <c r="K316" s="3">
        <v>0</v>
      </c>
      <c r="L316" s="3">
        <v>4.5999999999999996</v>
      </c>
      <c r="M316" s="3">
        <v>450711.92</v>
      </c>
      <c r="N316" s="3">
        <v>90043.76</v>
      </c>
      <c r="O316">
        <f t="shared" si="4"/>
        <v>0</v>
      </c>
    </row>
    <row r="317" spans="1:15">
      <c r="A317" s="3" t="s">
        <v>92</v>
      </c>
      <c r="B317" s="5">
        <v>45748</v>
      </c>
      <c r="C317" s="3" t="s">
        <v>24</v>
      </c>
      <c r="D317" s="3" t="s">
        <v>18</v>
      </c>
      <c r="E317" s="3">
        <v>18599.21</v>
      </c>
      <c r="F317" s="3">
        <v>3027</v>
      </c>
      <c r="G317" s="7">
        <v>0.122</v>
      </c>
      <c r="H317" s="3">
        <v>11</v>
      </c>
      <c r="I317" s="3">
        <v>80.900000000000006</v>
      </c>
      <c r="J317" s="3">
        <v>6.44</v>
      </c>
      <c r="K317" s="3">
        <v>0</v>
      </c>
      <c r="L317" s="3">
        <v>4.2</v>
      </c>
      <c r="M317" s="3">
        <v>497439.82</v>
      </c>
      <c r="N317" s="3">
        <v>93372.75</v>
      </c>
      <c r="O317">
        <f t="shared" si="4"/>
        <v>0</v>
      </c>
    </row>
    <row r="318" spans="1:15">
      <c r="A318" s="3" t="s">
        <v>90</v>
      </c>
      <c r="B318" s="5">
        <v>45689</v>
      </c>
      <c r="C318" s="3" t="s">
        <v>27</v>
      </c>
      <c r="D318" s="3" t="s">
        <v>18</v>
      </c>
      <c r="E318" s="3">
        <v>17562.57</v>
      </c>
      <c r="F318" s="3">
        <v>3326</v>
      </c>
      <c r="G318" s="7">
        <v>0.153</v>
      </c>
      <c r="H318" s="3">
        <v>14</v>
      </c>
      <c r="I318" s="3">
        <v>88.1</v>
      </c>
      <c r="J318" s="3">
        <v>1.04</v>
      </c>
      <c r="K318" s="3">
        <v>0</v>
      </c>
      <c r="L318" s="3">
        <v>3.1</v>
      </c>
      <c r="M318" s="3">
        <v>561597.32999999996</v>
      </c>
      <c r="N318" s="3">
        <v>75072.75</v>
      </c>
      <c r="O318">
        <f t="shared" si="4"/>
        <v>0</v>
      </c>
    </row>
    <row r="319" spans="1:15">
      <c r="A319" s="3" t="s">
        <v>76</v>
      </c>
      <c r="B319" s="5">
        <v>45748</v>
      </c>
      <c r="C319" s="3" t="s">
        <v>20</v>
      </c>
      <c r="D319" s="3" t="s">
        <v>21</v>
      </c>
      <c r="E319" s="3">
        <v>16451.849999999999</v>
      </c>
      <c r="F319" s="3">
        <v>4678</v>
      </c>
      <c r="G319" s="7">
        <v>0.13300000000000001</v>
      </c>
      <c r="H319" s="3">
        <v>11</v>
      </c>
      <c r="I319" s="3">
        <v>95.9</v>
      </c>
      <c r="J319" s="3">
        <v>3.1</v>
      </c>
      <c r="K319" s="3">
        <v>0</v>
      </c>
      <c r="L319" s="3">
        <v>3.9</v>
      </c>
      <c r="M319" s="3">
        <v>606278.30000000005</v>
      </c>
      <c r="N319" s="3">
        <v>102213.26</v>
      </c>
      <c r="O319">
        <f t="shared" si="4"/>
        <v>0</v>
      </c>
    </row>
    <row r="320" spans="1:15">
      <c r="A320" s="3" t="s">
        <v>87</v>
      </c>
      <c r="B320" s="5">
        <v>45658</v>
      </c>
      <c r="C320" s="3" t="s">
        <v>27</v>
      </c>
      <c r="D320" s="3" t="s">
        <v>18</v>
      </c>
      <c r="E320" s="3">
        <v>14519.37</v>
      </c>
      <c r="F320" s="3">
        <v>3047</v>
      </c>
      <c r="G320" s="7">
        <v>0.13500000000000001</v>
      </c>
      <c r="H320" s="3">
        <v>10</v>
      </c>
      <c r="I320" s="3">
        <v>90.3</v>
      </c>
      <c r="J320" s="3">
        <v>6.62</v>
      </c>
      <c r="K320" s="3">
        <v>0</v>
      </c>
      <c r="L320" s="3">
        <v>4.2</v>
      </c>
      <c r="M320" s="3">
        <v>528852.62</v>
      </c>
      <c r="N320" s="3">
        <v>68426.210000000006</v>
      </c>
      <c r="O320">
        <f t="shared" si="4"/>
        <v>0</v>
      </c>
    </row>
    <row r="321" spans="1:15">
      <c r="A321" s="3" t="s">
        <v>45</v>
      </c>
      <c r="B321" s="5">
        <v>45748</v>
      </c>
      <c r="C321" s="3" t="s">
        <v>27</v>
      </c>
      <c r="D321" s="3" t="s">
        <v>16</v>
      </c>
      <c r="E321" s="3">
        <v>9534.65</v>
      </c>
      <c r="F321" s="3">
        <v>6057</v>
      </c>
      <c r="G321" s="7">
        <v>7.3999999999999996E-2</v>
      </c>
      <c r="H321" s="3">
        <v>15</v>
      </c>
      <c r="I321" s="3">
        <v>94.1</v>
      </c>
      <c r="J321" s="3">
        <v>5.79</v>
      </c>
      <c r="K321" s="3">
        <v>0</v>
      </c>
      <c r="L321" s="3">
        <v>4.5</v>
      </c>
      <c r="M321" s="3">
        <v>607898.12</v>
      </c>
      <c r="N321" s="3">
        <v>135404.85</v>
      </c>
      <c r="O321">
        <f t="shared" si="4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57B5A-12C8-4D56-AC38-D66FC0A12565}">
  <dimension ref="A1:D5"/>
  <sheetViews>
    <sheetView workbookViewId="0">
      <selection activeCell="C15" sqref="C15"/>
    </sheetView>
  </sheetViews>
  <sheetFormatPr defaultRowHeight="14.25"/>
  <cols>
    <col min="1" max="1" width="9.125" customWidth="1"/>
    <col min="2" max="2" width="14" customWidth="1"/>
    <col min="3" max="3" width="15.125" customWidth="1"/>
    <col min="4" max="4" width="15.375" customWidth="1"/>
  </cols>
  <sheetData>
    <row r="1" spans="1:4">
      <c r="A1" t="s">
        <v>102</v>
      </c>
      <c r="B1" t="s">
        <v>103</v>
      </c>
      <c r="C1" t="s">
        <v>104</v>
      </c>
      <c r="D1" t="s">
        <v>105</v>
      </c>
    </row>
    <row r="2" spans="1:4">
      <c r="A2" t="s">
        <v>15</v>
      </c>
      <c r="B2">
        <f>IF(A2="East",1,0)</f>
        <v>1</v>
      </c>
      <c r="C2">
        <f>IF(A2="North",1,0)</f>
        <v>0</v>
      </c>
      <c r="D2">
        <f>IF(A2="South",1,0)</f>
        <v>0</v>
      </c>
    </row>
    <row r="3" spans="1:4">
      <c r="A3" t="s">
        <v>20</v>
      </c>
      <c r="B3">
        <f t="shared" ref="B3:B5" si="0">IF(A3="East",1,0)</f>
        <v>0</v>
      </c>
      <c r="C3">
        <f t="shared" ref="C3:C5" si="1">IF(A3="North",1,0)</f>
        <v>1</v>
      </c>
      <c r="D3">
        <f t="shared" ref="D3:D5" si="2">IF(A3="South",1,0)</f>
        <v>0</v>
      </c>
    </row>
    <row r="4" spans="1:4">
      <c r="A4" t="s">
        <v>24</v>
      </c>
      <c r="B4">
        <f t="shared" si="0"/>
        <v>0</v>
      </c>
      <c r="C4">
        <f t="shared" si="1"/>
        <v>0</v>
      </c>
      <c r="D4">
        <f t="shared" si="2"/>
        <v>1</v>
      </c>
    </row>
    <row r="5" spans="1:4">
      <c r="A5" t="s">
        <v>27</v>
      </c>
      <c r="B5">
        <f t="shared" si="0"/>
        <v>0</v>
      </c>
      <c r="C5">
        <f t="shared" si="1"/>
        <v>0</v>
      </c>
      <c r="D5">
        <f t="shared" si="2"/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407B9-914A-4008-A1CF-41CB71C27A08}">
  <dimension ref="A1:I18"/>
  <sheetViews>
    <sheetView workbookViewId="0">
      <selection activeCell="H22" sqref="H22"/>
    </sheetView>
  </sheetViews>
  <sheetFormatPr defaultRowHeight="14.25"/>
  <cols>
    <col min="1" max="1" width="13.625" customWidth="1"/>
    <col min="2" max="2" width="12.375" customWidth="1"/>
    <col min="3" max="3" width="14.625" customWidth="1"/>
    <col min="4" max="4" width="13.75" customWidth="1"/>
    <col min="5" max="5" width="11.5" customWidth="1"/>
    <col min="6" max="6" width="12.875" customWidth="1"/>
    <col min="7" max="7" width="11.875" customWidth="1"/>
    <col min="8" max="8" width="13.25" customWidth="1"/>
    <col min="9" max="9" width="15.375" customWidth="1"/>
  </cols>
  <sheetData>
    <row r="1" spans="1:9">
      <c r="A1" t="s">
        <v>106</v>
      </c>
    </row>
    <row r="2" spans="1:9" ht="15" thickBot="1"/>
    <row r="3" spans="1:9">
      <c r="A3" s="12" t="s">
        <v>107</v>
      </c>
      <c r="B3" s="12"/>
    </row>
    <row r="4" spans="1:9">
      <c r="A4" s="9" t="s">
        <v>108</v>
      </c>
      <c r="B4" s="9">
        <v>0.40895561021322407</v>
      </c>
    </row>
    <row r="5" spans="1:9">
      <c r="A5" s="9" t="s">
        <v>109</v>
      </c>
      <c r="B5" s="9">
        <v>0.16724469112487048</v>
      </c>
    </row>
    <row r="6" spans="1:9">
      <c r="A6" s="9" t="s">
        <v>110</v>
      </c>
      <c r="B6" s="9">
        <v>0.16462596373847069</v>
      </c>
    </row>
    <row r="7" spans="1:9">
      <c r="A7" s="9" t="s">
        <v>111</v>
      </c>
      <c r="B7" s="9">
        <v>94846.0338321585</v>
      </c>
    </row>
    <row r="8" spans="1:9" ht="15" thickBot="1">
      <c r="A8" s="10" t="s">
        <v>112</v>
      </c>
      <c r="B8" s="10">
        <v>320</v>
      </c>
    </row>
    <row r="10" spans="1:9" ht="15" thickBot="1">
      <c r="A10" t="s">
        <v>113</v>
      </c>
    </row>
    <row r="11" spans="1:9">
      <c r="A11" s="11"/>
      <c r="B11" s="11" t="s">
        <v>118</v>
      </c>
      <c r="C11" s="11" t="s">
        <v>119</v>
      </c>
      <c r="D11" s="11" t="s">
        <v>120</v>
      </c>
      <c r="E11" s="11" t="s">
        <v>121</v>
      </c>
      <c r="F11" s="11" t="s">
        <v>122</v>
      </c>
    </row>
    <row r="12" spans="1:9">
      <c r="A12" s="9" t="s">
        <v>114</v>
      </c>
      <c r="B12" s="9">
        <v>1</v>
      </c>
      <c r="C12" s="9">
        <v>574513714277.01563</v>
      </c>
      <c r="D12" s="9">
        <v>574513714277.01563</v>
      </c>
      <c r="E12" s="9">
        <v>63.864872683367835</v>
      </c>
      <c r="F12" s="9">
        <v>2.4800615101357477E-14</v>
      </c>
    </row>
    <row r="13" spans="1:9">
      <c r="A13" s="9" t="s">
        <v>115</v>
      </c>
      <c r="B13" s="9">
        <v>318</v>
      </c>
      <c r="C13" s="9">
        <v>2860654902513.7231</v>
      </c>
      <c r="D13" s="9">
        <v>8995770133.6909542</v>
      </c>
      <c r="E13" s="9"/>
      <c r="F13" s="9"/>
    </row>
    <row r="14" spans="1:9" ht="15" thickBot="1">
      <c r="A14" s="10" t="s">
        <v>116</v>
      </c>
      <c r="B14" s="10">
        <v>319</v>
      </c>
      <c r="C14" s="10">
        <v>3435168616790.7388</v>
      </c>
      <c r="D14" s="10"/>
      <c r="E14" s="10"/>
      <c r="F14" s="10"/>
    </row>
    <row r="15" spans="1:9" ht="15" thickBot="1"/>
    <row r="16" spans="1:9">
      <c r="A16" s="11"/>
      <c r="B16" s="11" t="s">
        <v>123</v>
      </c>
      <c r="C16" s="11" t="s">
        <v>111</v>
      </c>
      <c r="D16" s="11" t="s">
        <v>124</v>
      </c>
      <c r="E16" s="11" t="s">
        <v>125</v>
      </c>
      <c r="F16" s="11" t="s">
        <v>126</v>
      </c>
      <c r="G16" s="11" t="s">
        <v>127</v>
      </c>
      <c r="H16" s="11" t="s">
        <v>128</v>
      </c>
      <c r="I16" s="11" t="s">
        <v>129</v>
      </c>
    </row>
    <row r="17" spans="1:9">
      <c r="A17" s="9" t="s">
        <v>117</v>
      </c>
      <c r="B17" s="9">
        <v>560777.34544943727</v>
      </c>
      <c r="C17" s="9">
        <v>15906.905953068675</v>
      </c>
      <c r="D17" s="9">
        <v>35.253703460870412</v>
      </c>
      <c r="E17" s="9">
        <v>6.9528768762833419E-112</v>
      </c>
      <c r="F17" s="9">
        <v>529481.27234763245</v>
      </c>
      <c r="G17" s="9">
        <v>592073.4185512421</v>
      </c>
      <c r="H17" s="9">
        <v>529481.27234763245</v>
      </c>
      <c r="I17" s="9">
        <v>592073.4185512421</v>
      </c>
    </row>
    <row r="18" spans="1:9" ht="15" thickBot="1">
      <c r="A18" s="10" t="s">
        <v>4</v>
      </c>
      <c r="B18" s="10">
        <v>2.1295753275898308</v>
      </c>
      <c r="C18" s="10">
        <v>0.26647838106932364</v>
      </c>
      <c r="D18" s="10">
        <v>7.9915500801388744</v>
      </c>
      <c r="E18" s="10">
        <v>2.4800615101359619E-14</v>
      </c>
      <c r="F18" s="10">
        <v>1.6052919176921763</v>
      </c>
      <c r="G18" s="10">
        <v>2.6538587374874854</v>
      </c>
      <c r="H18" s="10">
        <v>1.6052919176921763</v>
      </c>
      <c r="I18" s="10">
        <v>2.6538587374874854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EF74C-3DFB-4524-B2B1-39EE891C8E60}">
  <dimension ref="A1:I18"/>
  <sheetViews>
    <sheetView workbookViewId="0">
      <selection activeCell="I22" sqref="I22"/>
    </sheetView>
  </sheetViews>
  <sheetFormatPr defaultRowHeight="14.25"/>
  <cols>
    <col min="1" max="1" width="18.625" customWidth="1"/>
    <col min="2" max="2" width="21" customWidth="1"/>
    <col min="3" max="3" width="14.625" customWidth="1"/>
    <col min="4" max="4" width="14.5" customWidth="1"/>
    <col min="5" max="5" width="15.25" customWidth="1"/>
    <col min="6" max="6" width="18.75" customWidth="1"/>
    <col min="7" max="7" width="14.625" customWidth="1"/>
    <col min="8" max="8" width="15" customWidth="1"/>
    <col min="9" max="9" width="15.75" customWidth="1"/>
  </cols>
  <sheetData>
    <row r="1" spans="1:9">
      <c r="A1" t="s">
        <v>106</v>
      </c>
    </row>
    <row r="2" spans="1:9" ht="15" thickBot="1"/>
    <row r="3" spans="1:9">
      <c r="A3" s="12" t="s">
        <v>107</v>
      </c>
      <c r="B3" s="12"/>
    </row>
    <row r="4" spans="1:9">
      <c r="A4" s="9" t="s">
        <v>108</v>
      </c>
      <c r="B4" s="9">
        <v>0.85807070804410457</v>
      </c>
    </row>
    <row r="5" spans="1:9">
      <c r="A5" s="9" t="s">
        <v>109</v>
      </c>
      <c r="B5" s="9">
        <v>0.73628534000331103</v>
      </c>
    </row>
    <row r="6" spans="1:9">
      <c r="A6" s="9" t="s">
        <v>110</v>
      </c>
      <c r="B6" s="9">
        <v>0.73545604861967373</v>
      </c>
    </row>
    <row r="7" spans="1:9">
      <c r="A7" s="9" t="s">
        <v>111</v>
      </c>
      <c r="B7" s="9">
        <v>53373.736380790506</v>
      </c>
    </row>
    <row r="8" spans="1:9" ht="15" thickBot="1">
      <c r="A8" s="10" t="s">
        <v>112</v>
      </c>
      <c r="B8" s="10">
        <v>320</v>
      </c>
    </row>
    <row r="10" spans="1:9" ht="15" thickBot="1">
      <c r="A10" t="s">
        <v>113</v>
      </c>
    </row>
    <row r="11" spans="1:9">
      <c r="A11" s="11"/>
      <c r="B11" s="11" t="s">
        <v>118</v>
      </c>
      <c r="C11" s="11" t="s">
        <v>119</v>
      </c>
      <c r="D11" s="11" t="s">
        <v>120</v>
      </c>
      <c r="E11" s="11" t="s">
        <v>121</v>
      </c>
      <c r="F11" s="11" t="s">
        <v>122</v>
      </c>
    </row>
    <row r="12" spans="1:9">
      <c r="A12" s="9" t="s">
        <v>114</v>
      </c>
      <c r="B12" s="9">
        <v>1</v>
      </c>
      <c r="C12" s="9">
        <v>2529264292982.4727</v>
      </c>
      <c r="D12" s="9">
        <v>2529264292982.4727</v>
      </c>
      <c r="E12" s="9">
        <v>887.84877611275977</v>
      </c>
      <c r="F12" s="9">
        <v>4.7503615090057386E-94</v>
      </c>
    </row>
    <row r="13" spans="1:9">
      <c r="A13" s="9" t="s">
        <v>115</v>
      </c>
      <c r="B13" s="9">
        <v>318</v>
      </c>
      <c r="C13" s="9">
        <v>905904323808.26611</v>
      </c>
      <c r="D13" s="9">
        <v>2848755735.24612</v>
      </c>
      <c r="E13" s="9"/>
      <c r="F13" s="9"/>
    </row>
    <row r="14" spans="1:9" ht="15" thickBot="1">
      <c r="A14" s="10" t="s">
        <v>116</v>
      </c>
      <c r="B14" s="10">
        <v>319</v>
      </c>
      <c r="C14" s="10">
        <v>3435168616790.7388</v>
      </c>
      <c r="D14" s="10"/>
      <c r="E14" s="10"/>
      <c r="F14" s="10"/>
    </row>
    <row r="15" spans="1:9" ht="15" thickBot="1"/>
    <row r="16" spans="1:9">
      <c r="A16" s="11"/>
      <c r="B16" s="11" t="s">
        <v>123</v>
      </c>
      <c r="C16" s="11" t="s">
        <v>111</v>
      </c>
      <c r="D16" s="11" t="s">
        <v>124</v>
      </c>
      <c r="E16" s="11" t="s">
        <v>125</v>
      </c>
      <c r="F16" s="11" t="s">
        <v>126</v>
      </c>
      <c r="G16" s="11" t="s">
        <v>127</v>
      </c>
      <c r="H16" s="11" t="s">
        <v>128</v>
      </c>
      <c r="I16" s="11" t="s">
        <v>129</v>
      </c>
    </row>
    <row r="17" spans="1:9">
      <c r="A17" s="9" t="s">
        <v>117</v>
      </c>
      <c r="B17" s="9">
        <v>446410.58293395414</v>
      </c>
      <c r="C17" s="9">
        <v>8407.7382630059928</v>
      </c>
      <c r="D17" s="9">
        <v>53.095204556754403</v>
      </c>
      <c r="E17" s="9">
        <v>4.086269571148864E-160</v>
      </c>
      <c r="F17" s="9">
        <v>429868.76191129856</v>
      </c>
      <c r="G17" s="9">
        <v>462952.40395660972</v>
      </c>
      <c r="H17" s="9">
        <v>429868.76191129856</v>
      </c>
      <c r="I17" s="9">
        <v>462952.40395660972</v>
      </c>
    </row>
    <row r="18" spans="1:9" ht="15" thickBot="1">
      <c r="A18" s="10" t="s">
        <v>5</v>
      </c>
      <c r="B18" s="10">
        <v>35.678031072640444</v>
      </c>
      <c r="C18" s="10">
        <v>1.1973782890340827</v>
      </c>
      <c r="D18" s="10">
        <v>29.796791372776333</v>
      </c>
      <c r="E18" s="10">
        <v>4.7503615090065503E-94</v>
      </c>
      <c r="F18" s="10">
        <v>33.322246825554011</v>
      </c>
      <c r="G18" s="10">
        <v>38.033815319726877</v>
      </c>
      <c r="H18" s="10">
        <v>33.322246825554011</v>
      </c>
      <c r="I18" s="10">
        <v>38.033815319726877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FDF07-6E81-4AE0-BEE6-ACFC369BFEBB}">
  <dimension ref="A1:I25"/>
  <sheetViews>
    <sheetView topLeftCell="A3" workbookViewId="0">
      <selection activeCell="L17" sqref="L17"/>
    </sheetView>
  </sheetViews>
  <sheetFormatPr defaultRowHeight="14.25"/>
  <cols>
    <col min="1" max="1" width="16.875" customWidth="1"/>
    <col min="2" max="2" width="16" customWidth="1"/>
    <col min="3" max="3" width="16.875" customWidth="1"/>
    <col min="4" max="4" width="14" customWidth="1"/>
    <col min="5" max="5" width="16" customWidth="1"/>
    <col min="6" max="6" width="16.375" customWidth="1"/>
    <col min="7" max="7" width="14.625" customWidth="1"/>
    <col min="8" max="8" width="15.125" customWidth="1"/>
    <col min="9" max="9" width="13.125" customWidth="1"/>
  </cols>
  <sheetData>
    <row r="1" spans="1:9">
      <c r="A1" t="s">
        <v>106</v>
      </c>
    </row>
    <row r="2" spans="1:9" ht="15" thickBot="1"/>
    <row r="3" spans="1:9">
      <c r="A3" s="12" t="s">
        <v>107</v>
      </c>
      <c r="B3" s="12"/>
    </row>
    <row r="4" spans="1:9">
      <c r="A4" s="9" t="s">
        <v>108</v>
      </c>
      <c r="B4" s="9">
        <v>0.91008224441664953</v>
      </c>
    </row>
    <row r="5" spans="1:9">
      <c r="A5" s="9" t="s">
        <v>109</v>
      </c>
      <c r="B5" s="9">
        <v>0.82824969160244621</v>
      </c>
    </row>
    <row r="6" spans="1:9">
      <c r="A6" s="9" t="s">
        <v>110</v>
      </c>
      <c r="B6" s="9">
        <v>0.82383167723852202</v>
      </c>
    </row>
    <row r="7" spans="1:9">
      <c r="A7" s="9" t="s">
        <v>111</v>
      </c>
      <c r="B7" s="9">
        <v>43555.459318383902</v>
      </c>
    </row>
    <row r="8" spans="1:9" ht="15" thickBot="1">
      <c r="A8" s="10" t="s">
        <v>112</v>
      </c>
      <c r="B8" s="10">
        <v>320</v>
      </c>
    </row>
    <row r="10" spans="1:9" ht="15" thickBot="1">
      <c r="A10" t="s">
        <v>113</v>
      </c>
    </row>
    <row r="11" spans="1:9">
      <c r="A11" s="11"/>
      <c r="B11" s="11" t="s">
        <v>118</v>
      </c>
      <c r="C11" s="11" t="s">
        <v>119</v>
      </c>
      <c r="D11" s="11" t="s">
        <v>120</v>
      </c>
      <c r="E11" s="11" t="s">
        <v>121</v>
      </c>
      <c r="F11" s="11" t="s">
        <v>122</v>
      </c>
    </row>
    <row r="12" spans="1:9">
      <c r="A12" s="9" t="s">
        <v>114</v>
      </c>
      <c r="B12" s="9">
        <v>8</v>
      </c>
      <c r="C12" s="9">
        <v>2845177347459.3311</v>
      </c>
      <c r="D12" s="9">
        <v>355647168432.41638</v>
      </c>
      <c r="E12" s="9">
        <v>187.4710273387997</v>
      </c>
      <c r="F12" s="9">
        <v>3.9486573162020739E-114</v>
      </c>
    </row>
    <row r="13" spans="1:9">
      <c r="A13" s="9" t="s">
        <v>115</v>
      </c>
      <c r="B13" s="9">
        <v>311</v>
      </c>
      <c r="C13" s="9">
        <v>589991269331.40784</v>
      </c>
      <c r="D13" s="9">
        <v>1897078036.435395</v>
      </c>
      <c r="E13" s="9"/>
      <c r="F13" s="9"/>
    </row>
    <row r="14" spans="1:9" ht="15" thickBot="1">
      <c r="A14" s="10" t="s">
        <v>116</v>
      </c>
      <c r="B14" s="10">
        <v>319</v>
      </c>
      <c r="C14" s="10">
        <v>3435168616790.7388</v>
      </c>
      <c r="D14" s="10"/>
      <c r="E14" s="10"/>
      <c r="F14" s="10"/>
    </row>
    <row r="15" spans="1:9" ht="15" thickBot="1"/>
    <row r="16" spans="1:9">
      <c r="A16" s="11"/>
      <c r="B16" s="11" t="s">
        <v>123</v>
      </c>
      <c r="C16" s="11" t="s">
        <v>111</v>
      </c>
      <c r="D16" s="11" t="s">
        <v>124</v>
      </c>
      <c r="E16" s="11" t="s">
        <v>125</v>
      </c>
      <c r="F16" s="11" t="s">
        <v>126</v>
      </c>
      <c r="G16" s="11" t="s">
        <v>127</v>
      </c>
      <c r="H16" s="11" t="s">
        <v>128</v>
      </c>
      <c r="I16" s="11" t="s">
        <v>129</v>
      </c>
    </row>
    <row r="17" spans="1:9">
      <c r="A17" s="9" t="s">
        <v>117</v>
      </c>
      <c r="B17" s="9">
        <v>96294.241424751846</v>
      </c>
      <c r="C17" s="9">
        <v>48141.405937192154</v>
      </c>
      <c r="D17" s="9">
        <v>2.0002374162146914</v>
      </c>
      <c r="E17" s="9">
        <v>4.6343822749789154E-2</v>
      </c>
      <c r="F17" s="9">
        <v>1570.1937156331987</v>
      </c>
      <c r="G17" s="9">
        <v>191018.28913387051</v>
      </c>
      <c r="H17" s="9">
        <v>1570.1937156331987</v>
      </c>
      <c r="I17" s="9">
        <v>191018.28913387051</v>
      </c>
    </row>
    <row r="18" spans="1:9">
      <c r="A18" s="9" t="s">
        <v>4</v>
      </c>
      <c r="B18" s="9">
        <v>1.1806144723631606</v>
      </c>
      <c r="C18" s="9">
        <v>0.12673037770802625</v>
      </c>
      <c r="D18" s="9">
        <v>9.3159548145841935</v>
      </c>
      <c r="E18" s="9">
        <v>2.2884553425518528E-18</v>
      </c>
      <c r="F18" s="9">
        <v>0.93125710295290065</v>
      </c>
      <c r="G18" s="9">
        <v>1.4299718417734206</v>
      </c>
      <c r="H18" s="9">
        <v>0.93125710295290065</v>
      </c>
      <c r="I18" s="9">
        <v>1.4299718417734206</v>
      </c>
    </row>
    <row r="19" spans="1:9">
      <c r="A19" s="9" t="s">
        <v>5</v>
      </c>
      <c r="B19" s="9">
        <v>27.992797726085666</v>
      </c>
      <c r="C19" s="9">
        <v>2.4883220989610484</v>
      </c>
      <c r="D19" s="9">
        <v>11.249668094726774</v>
      </c>
      <c r="E19" s="9">
        <v>7.3265573989849835E-25</v>
      </c>
      <c r="F19" s="9">
        <v>23.096722577695679</v>
      </c>
      <c r="G19" s="9">
        <v>32.888872874475652</v>
      </c>
      <c r="H19" s="9">
        <v>23.096722577695679</v>
      </c>
      <c r="I19" s="9">
        <v>32.888872874475652</v>
      </c>
    </row>
    <row r="20" spans="1:9">
      <c r="A20" s="9" t="s">
        <v>6</v>
      </c>
      <c r="B20" s="9">
        <v>-71956.850010536888</v>
      </c>
      <c r="C20" s="9">
        <v>36091.214795191176</v>
      </c>
      <c r="D20" s="9">
        <v>-1.9937497371278419</v>
      </c>
      <c r="E20" s="9">
        <v>4.7052488482846086E-2</v>
      </c>
      <c r="F20" s="9">
        <v>-142970.68696826854</v>
      </c>
      <c r="G20" s="9">
        <v>-943.01305280523957</v>
      </c>
      <c r="H20" s="9">
        <v>-142970.68696826854</v>
      </c>
      <c r="I20" s="9">
        <v>-943.01305280523957</v>
      </c>
    </row>
    <row r="21" spans="1:9">
      <c r="A21" s="9" t="s">
        <v>7</v>
      </c>
      <c r="B21" s="9">
        <v>3002.8539968963873</v>
      </c>
      <c r="C21" s="9">
        <v>1253.3913875006592</v>
      </c>
      <c r="D21" s="9">
        <v>2.3957831742280167</v>
      </c>
      <c r="E21" s="9">
        <v>1.7175698648395039E-2</v>
      </c>
      <c r="F21" s="9">
        <v>536.65461454541219</v>
      </c>
      <c r="G21" s="9">
        <v>5469.0533792473625</v>
      </c>
      <c r="H21" s="9">
        <v>536.65461454541219</v>
      </c>
      <c r="I21" s="9">
        <v>5469.0533792473625</v>
      </c>
    </row>
    <row r="22" spans="1:9">
      <c r="A22" s="9" t="s">
        <v>8</v>
      </c>
      <c r="B22" s="9">
        <v>2983.7819728761378</v>
      </c>
      <c r="C22" s="9">
        <v>459.19523664762272</v>
      </c>
      <c r="D22" s="9">
        <v>6.4978504451818448</v>
      </c>
      <c r="E22" s="9">
        <v>3.2328609505836819E-10</v>
      </c>
      <c r="F22" s="9">
        <v>2080.2597209344781</v>
      </c>
      <c r="G22" s="9">
        <v>3887.3042248177976</v>
      </c>
      <c r="H22" s="9">
        <v>2080.2597209344781</v>
      </c>
      <c r="I22" s="9">
        <v>3887.3042248177976</v>
      </c>
    </row>
    <row r="23" spans="1:9">
      <c r="A23" s="9" t="s">
        <v>9</v>
      </c>
      <c r="B23" s="9">
        <v>-2883.7861355172977</v>
      </c>
      <c r="C23" s="9">
        <v>576.28169717135256</v>
      </c>
      <c r="D23" s="9">
        <v>-5.0041258462175797</v>
      </c>
      <c r="E23" s="9">
        <v>9.4074278648857733E-7</v>
      </c>
      <c r="F23" s="9">
        <v>-4017.6901816095356</v>
      </c>
      <c r="G23" s="9">
        <v>-1749.8820894250598</v>
      </c>
      <c r="H23" s="9">
        <v>-4017.6901816095356</v>
      </c>
      <c r="I23" s="9">
        <v>-1749.8820894250598</v>
      </c>
    </row>
    <row r="24" spans="1:9">
      <c r="A24" s="9" t="s">
        <v>10</v>
      </c>
      <c r="B24" s="9">
        <v>12790.845928720168</v>
      </c>
      <c r="C24" s="9">
        <v>6613.3001117224112</v>
      </c>
      <c r="D24" s="9">
        <v>1.9341094026638443</v>
      </c>
      <c r="E24" s="9">
        <v>5.400666901520948E-2</v>
      </c>
      <c r="F24" s="9">
        <v>-221.62313200478275</v>
      </c>
      <c r="G24" s="9">
        <v>25803.31498944512</v>
      </c>
      <c r="H24" s="9">
        <v>-221.62313200478275</v>
      </c>
      <c r="I24" s="9">
        <v>25803.31498944512</v>
      </c>
    </row>
    <row r="25" spans="1:9" ht="15" thickBot="1">
      <c r="A25" s="10" t="s">
        <v>11</v>
      </c>
      <c r="B25" s="10">
        <v>10456.511417060488</v>
      </c>
      <c r="C25" s="10">
        <v>4747.0586125093923</v>
      </c>
      <c r="D25" s="10">
        <v>2.2027348450060451</v>
      </c>
      <c r="E25" s="10">
        <v>2.8346712293718886E-2</v>
      </c>
      <c r="F25" s="10">
        <v>1116.0985700411584</v>
      </c>
      <c r="G25" s="10">
        <v>19796.924264079818</v>
      </c>
      <c r="H25" s="10">
        <v>1116.0985700411584</v>
      </c>
      <c r="I25" s="10">
        <v>19796.924264079818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16128-B07C-48EF-A74F-7C33DC1FD119}">
  <dimension ref="A1:K321"/>
  <sheetViews>
    <sheetView tabSelected="1" workbookViewId="0">
      <selection activeCell="O7" sqref="O7"/>
    </sheetView>
  </sheetViews>
  <sheetFormatPr defaultRowHeight="14.25"/>
  <cols>
    <col min="1" max="1" width="12.75" customWidth="1"/>
    <col min="2" max="2" width="13.75" customWidth="1"/>
    <col min="3" max="3" width="13.625" style="8" customWidth="1"/>
    <col min="4" max="4" width="13.125" customWidth="1"/>
    <col min="5" max="5" width="17.25" customWidth="1"/>
    <col min="6" max="6" width="12.625" customWidth="1"/>
    <col min="7" max="7" width="11.375" customWidth="1"/>
    <col min="8" max="8" width="12.5" customWidth="1"/>
    <col min="9" max="9" width="12.125" customWidth="1"/>
    <col min="10" max="10" width="12.5" customWidth="1"/>
    <col min="11" max="11" width="11.625" customWidth="1"/>
  </cols>
  <sheetData>
    <row r="1" spans="1:11" ht="30">
      <c r="A1" s="1" t="s">
        <v>4</v>
      </c>
      <c r="B1" s="1" t="s">
        <v>5</v>
      </c>
      <c r="C1" s="6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2" t="s">
        <v>151</v>
      </c>
      <c r="K1" s="2" t="s">
        <v>115</v>
      </c>
    </row>
    <row r="2" spans="1:11">
      <c r="A2" s="3">
        <v>172415.52</v>
      </c>
      <c r="B2" s="3">
        <v>8927</v>
      </c>
      <c r="C2" s="7">
        <v>0.14000000000000001</v>
      </c>
      <c r="D2" s="3">
        <v>22</v>
      </c>
      <c r="E2" s="3">
        <v>86.2</v>
      </c>
      <c r="F2" s="3">
        <v>7.04</v>
      </c>
      <c r="G2" s="3">
        <v>0</v>
      </c>
      <c r="H2" s="3">
        <v>3.9</v>
      </c>
      <c r="I2" s="3">
        <v>800451.94</v>
      </c>
      <c r="J2">
        <f>96294.24+(1.18*A2)+(27.99*B2)-(71956.85*C2)+(3002.85*D2)+(2983.78*E2)-(2883.79*F2)+(12790.85*G2)+(10456.51*H2)</f>
        <v>883280.3679999999</v>
      </c>
      <c r="K2">
        <f>I2-J2</f>
        <v>-82828.427999999956</v>
      </c>
    </row>
    <row r="3" spans="1:11">
      <c r="A3" s="3">
        <v>141540.29</v>
      </c>
      <c r="B3" s="3">
        <v>5400</v>
      </c>
      <c r="C3" s="7">
        <v>1.2999999999999999E-2</v>
      </c>
      <c r="D3" s="3">
        <v>12</v>
      </c>
      <c r="E3" s="3">
        <v>87</v>
      </c>
      <c r="F3" s="3">
        <v>4.26</v>
      </c>
      <c r="G3" s="3">
        <v>0</v>
      </c>
      <c r="H3" s="3">
        <v>4.5</v>
      </c>
      <c r="I3" s="3">
        <v>627171.9</v>
      </c>
      <c r="J3">
        <f t="shared" ref="J3:J66" si="0">96294.24+(1.18*A3)+(27.99*B3)-(71956.85*C3)+(3002.85*D3)+(2983.78*E3)-(2883.79*F3)+(12790.85*G3)+(10456.51*H3)</f>
        <v>743914.7527500001</v>
      </c>
      <c r="K3">
        <f t="shared" ref="K3:K66" si="1">I3-J3</f>
        <v>-116742.85275000008</v>
      </c>
    </row>
    <row r="4" spans="1:11">
      <c r="A4" s="3">
        <v>138855.51</v>
      </c>
      <c r="B4" s="3">
        <v>5145</v>
      </c>
      <c r="C4" s="7">
        <v>0.06</v>
      </c>
      <c r="D4" s="3">
        <v>17</v>
      </c>
      <c r="E4" s="3">
        <v>88.2</v>
      </c>
      <c r="F4" s="3">
        <v>9.58</v>
      </c>
      <c r="G4" s="3">
        <v>0</v>
      </c>
      <c r="H4" s="3">
        <v>3.2</v>
      </c>
      <c r="I4" s="3">
        <v>595467.6</v>
      </c>
      <c r="J4">
        <f t="shared" si="0"/>
        <v>719886.85060000012</v>
      </c>
      <c r="K4">
        <f t="shared" si="1"/>
        <v>-124419.25060000014</v>
      </c>
    </row>
    <row r="5" spans="1:11">
      <c r="A5" s="3">
        <v>118910.48</v>
      </c>
      <c r="B5" s="3">
        <v>4022</v>
      </c>
      <c r="C5" s="7">
        <v>0.13700000000000001</v>
      </c>
      <c r="D5" s="3">
        <v>11</v>
      </c>
      <c r="E5" s="3">
        <v>87.1</v>
      </c>
      <c r="F5" s="3">
        <v>0.2</v>
      </c>
      <c r="G5" s="3">
        <v>0</v>
      </c>
      <c r="H5" s="3">
        <v>3.1</v>
      </c>
      <c r="I5" s="3">
        <v>617291.15</v>
      </c>
      <c r="J5">
        <f t="shared" si="0"/>
        <v>664083.30894999998</v>
      </c>
      <c r="K5">
        <f t="shared" si="1"/>
        <v>-46792.158949999954</v>
      </c>
    </row>
    <row r="6" spans="1:11">
      <c r="A6" s="3">
        <v>113736</v>
      </c>
      <c r="B6" s="3">
        <v>8961</v>
      </c>
      <c r="C6" s="7">
        <v>0.20200000000000001</v>
      </c>
      <c r="D6" s="3">
        <v>24</v>
      </c>
      <c r="E6" s="3">
        <v>86.2</v>
      </c>
      <c r="F6" s="3">
        <v>21.63</v>
      </c>
      <c r="G6" s="3">
        <v>0</v>
      </c>
      <c r="H6" s="3">
        <v>4</v>
      </c>
      <c r="I6" s="3">
        <v>870937.4</v>
      </c>
      <c r="J6">
        <f t="shared" si="0"/>
        <v>775505.72460000007</v>
      </c>
      <c r="K6">
        <f t="shared" si="1"/>
        <v>95431.675399999949</v>
      </c>
    </row>
    <row r="7" spans="1:11">
      <c r="A7" s="3">
        <v>107970.19</v>
      </c>
      <c r="B7" s="3">
        <v>12870</v>
      </c>
      <c r="C7" s="7">
        <v>2.9000000000000001E-2</v>
      </c>
      <c r="D7" s="3">
        <v>31</v>
      </c>
      <c r="E7" s="3">
        <v>91.7</v>
      </c>
      <c r="F7" s="3">
        <v>3.82</v>
      </c>
      <c r="G7" s="3">
        <v>1</v>
      </c>
      <c r="H7" s="3">
        <v>3.7</v>
      </c>
      <c r="I7" s="3">
        <v>946833.54</v>
      </c>
      <c r="J7">
        <f t="shared" si="0"/>
        <v>989008.45075000008</v>
      </c>
      <c r="K7">
        <f t="shared" si="1"/>
        <v>-42174.910750000039</v>
      </c>
    </row>
    <row r="8" spans="1:11">
      <c r="A8" s="3">
        <v>99874.01</v>
      </c>
      <c r="B8" s="3">
        <v>5887</v>
      </c>
      <c r="C8" s="7">
        <v>0.26200000000000001</v>
      </c>
      <c r="D8" s="3">
        <v>14</v>
      </c>
      <c r="E8" s="3">
        <v>88.7</v>
      </c>
      <c r="F8" s="3">
        <v>6.18</v>
      </c>
      <c r="G8" s="3">
        <v>0</v>
      </c>
      <c r="H8" s="3">
        <v>4.7</v>
      </c>
      <c r="I8" s="3">
        <v>746677.75</v>
      </c>
      <c r="J8">
        <f t="shared" si="0"/>
        <v>698094.96789999993</v>
      </c>
      <c r="K8">
        <f t="shared" si="1"/>
        <v>48582.782100000069</v>
      </c>
    </row>
    <row r="9" spans="1:11">
      <c r="A9" s="3">
        <v>97480.94</v>
      </c>
      <c r="B9" s="3">
        <v>6840</v>
      </c>
      <c r="C9" s="7">
        <v>8.6999999999999994E-2</v>
      </c>
      <c r="D9" s="3">
        <v>14</v>
      </c>
      <c r="E9" s="3">
        <v>79.2</v>
      </c>
      <c r="F9" s="3">
        <v>1.1399999999999999</v>
      </c>
      <c r="G9" s="3">
        <v>0</v>
      </c>
      <c r="H9" s="3">
        <v>4</v>
      </c>
      <c r="I9" s="3">
        <v>729440.45</v>
      </c>
      <c r="J9">
        <f t="shared" si="0"/>
        <v>713406.89864999999</v>
      </c>
      <c r="K9">
        <f t="shared" si="1"/>
        <v>16033.551349999965</v>
      </c>
    </row>
    <row r="10" spans="1:11">
      <c r="A10" s="3">
        <v>93381.26</v>
      </c>
      <c r="B10" s="3">
        <v>7562</v>
      </c>
      <c r="C10" s="7">
        <v>0.19800000000000001</v>
      </c>
      <c r="D10" s="3">
        <v>19</v>
      </c>
      <c r="E10" s="3">
        <v>82.9</v>
      </c>
      <c r="F10" s="3">
        <v>5.05</v>
      </c>
      <c r="G10" s="3">
        <v>0</v>
      </c>
      <c r="H10" s="3">
        <v>4</v>
      </c>
      <c r="I10" s="3">
        <v>736633.4</v>
      </c>
      <c r="J10">
        <f t="shared" si="0"/>
        <v>735569.46299999999</v>
      </c>
      <c r="K10">
        <f t="shared" si="1"/>
        <v>1063.9370000000345</v>
      </c>
    </row>
    <row r="11" spans="1:11">
      <c r="A11" s="3">
        <v>92090.14</v>
      </c>
      <c r="B11" s="3">
        <v>9476</v>
      </c>
      <c r="C11" s="7">
        <v>7.0000000000000007E-2</v>
      </c>
      <c r="D11" s="3">
        <v>24</v>
      </c>
      <c r="E11" s="3">
        <v>94.3</v>
      </c>
      <c r="F11" s="3">
        <v>0.87</v>
      </c>
      <c r="G11" s="3">
        <v>0</v>
      </c>
      <c r="H11" s="3">
        <v>3.7</v>
      </c>
      <c r="I11" s="3">
        <v>825060.52</v>
      </c>
      <c r="J11">
        <f t="shared" si="0"/>
        <v>854775.9094</v>
      </c>
      <c r="K11">
        <f t="shared" si="1"/>
        <v>-29715.389399999985</v>
      </c>
    </row>
    <row r="12" spans="1:11">
      <c r="A12" s="3">
        <v>90084.4</v>
      </c>
      <c r="B12" s="3">
        <v>6832</v>
      </c>
      <c r="C12" s="7">
        <v>0.185</v>
      </c>
      <c r="D12" s="3">
        <v>14</v>
      </c>
      <c r="E12" s="3">
        <v>80.5</v>
      </c>
      <c r="F12" s="3">
        <v>0.77</v>
      </c>
      <c r="G12" s="3">
        <v>1</v>
      </c>
      <c r="H12" s="3">
        <v>4.4000000000000004</v>
      </c>
      <c r="I12" s="3">
        <v>740102.64</v>
      </c>
      <c r="J12">
        <f t="shared" si="0"/>
        <v>719322.66044999997</v>
      </c>
      <c r="K12">
        <f t="shared" si="1"/>
        <v>20779.979550000047</v>
      </c>
    </row>
    <row r="13" spans="1:11">
      <c r="A13" s="3">
        <v>88443.77</v>
      </c>
      <c r="B13" s="3">
        <v>4004</v>
      </c>
      <c r="C13" s="7">
        <v>0.20599999999999999</v>
      </c>
      <c r="D13" s="3">
        <v>11</v>
      </c>
      <c r="E13" s="3">
        <v>91.9</v>
      </c>
      <c r="F13" s="3">
        <v>5.95</v>
      </c>
      <c r="G13" s="3">
        <v>0</v>
      </c>
      <c r="H13" s="3">
        <v>3.92</v>
      </c>
      <c r="I13" s="3">
        <v>611766.72</v>
      </c>
      <c r="J13">
        <f t="shared" si="0"/>
        <v>628978.43820000009</v>
      </c>
      <c r="K13">
        <f t="shared" si="1"/>
        <v>-17211.718200000119</v>
      </c>
    </row>
    <row r="14" spans="1:11">
      <c r="A14" s="3">
        <v>86883.31</v>
      </c>
      <c r="B14" s="3">
        <v>6424</v>
      </c>
      <c r="C14" s="7">
        <v>5.7000000000000002E-2</v>
      </c>
      <c r="D14" s="3">
        <v>19</v>
      </c>
      <c r="E14" s="3">
        <v>85.2</v>
      </c>
      <c r="F14" s="3">
        <v>3.08</v>
      </c>
      <c r="G14" s="3">
        <v>0</v>
      </c>
      <c r="H14" s="3">
        <v>3.9</v>
      </c>
      <c r="I14" s="3">
        <v>700078.32</v>
      </c>
      <c r="J14">
        <f t="shared" si="0"/>
        <v>717693.28714999999</v>
      </c>
      <c r="K14">
        <f t="shared" si="1"/>
        <v>-17614.96715000004</v>
      </c>
    </row>
    <row r="15" spans="1:11">
      <c r="A15" s="3">
        <v>86421.88</v>
      </c>
      <c r="B15" s="3">
        <v>7970</v>
      </c>
      <c r="C15" s="7">
        <v>7.2999999999999995E-2</v>
      </c>
      <c r="D15" s="3">
        <v>17</v>
      </c>
      <c r="E15" s="3">
        <v>91.3</v>
      </c>
      <c r="F15" s="3">
        <v>0.8</v>
      </c>
      <c r="G15" s="3">
        <v>0</v>
      </c>
      <c r="H15" s="3">
        <v>5</v>
      </c>
      <c r="I15" s="3">
        <v>838250.32</v>
      </c>
      <c r="J15">
        <f t="shared" si="0"/>
        <v>789542.59035000007</v>
      </c>
      <c r="K15">
        <f t="shared" si="1"/>
        <v>48707.729649999877</v>
      </c>
    </row>
    <row r="16" spans="1:11">
      <c r="A16" s="3">
        <v>86026.58</v>
      </c>
      <c r="B16" s="3">
        <v>7479</v>
      </c>
      <c r="C16" s="7">
        <v>0.14199999999999999</v>
      </c>
      <c r="D16" s="3">
        <v>20</v>
      </c>
      <c r="E16" s="3">
        <v>89</v>
      </c>
      <c r="F16" s="3">
        <v>0.9</v>
      </c>
      <c r="G16" s="3">
        <v>0</v>
      </c>
      <c r="H16" s="3">
        <v>3.92</v>
      </c>
      <c r="I16" s="3">
        <v>771129.07</v>
      </c>
      <c r="J16">
        <f t="shared" si="0"/>
        <v>760932.46990000003</v>
      </c>
      <c r="K16">
        <f t="shared" si="1"/>
        <v>10196.600099999923</v>
      </c>
    </row>
    <row r="17" spans="1:11">
      <c r="A17" s="3">
        <v>83044.17</v>
      </c>
      <c r="B17" s="3">
        <v>3694</v>
      </c>
      <c r="C17" s="7">
        <v>0</v>
      </c>
      <c r="D17" s="3">
        <v>14</v>
      </c>
      <c r="E17" s="3">
        <v>89.4</v>
      </c>
      <c r="F17" s="3">
        <v>2.2000000000000002</v>
      </c>
      <c r="G17" s="3">
        <v>0</v>
      </c>
      <c r="H17" s="3">
        <v>3.7</v>
      </c>
      <c r="I17" s="3">
        <v>654317.09</v>
      </c>
      <c r="J17">
        <f t="shared" si="0"/>
        <v>638816.00160000008</v>
      </c>
      <c r="K17">
        <f t="shared" si="1"/>
        <v>15501.088399999891</v>
      </c>
    </row>
    <row r="18" spans="1:11">
      <c r="A18" s="3">
        <v>82116.19</v>
      </c>
      <c r="B18" s="3">
        <v>5988</v>
      </c>
      <c r="C18" s="7">
        <v>0.04</v>
      </c>
      <c r="D18" s="3">
        <v>17</v>
      </c>
      <c r="E18" s="3">
        <v>91.8</v>
      </c>
      <c r="F18" s="3">
        <v>5.75</v>
      </c>
      <c r="G18" s="3">
        <v>0</v>
      </c>
      <c r="H18" s="3">
        <v>4.7</v>
      </c>
      <c r="I18" s="3">
        <v>739852.58</v>
      </c>
      <c r="J18">
        <f t="shared" si="0"/>
        <v>715440.44869999995</v>
      </c>
      <c r="K18">
        <f t="shared" si="1"/>
        <v>24412.131300000008</v>
      </c>
    </row>
    <row r="19" spans="1:11">
      <c r="A19" s="3">
        <v>81902.58</v>
      </c>
      <c r="B19" s="3">
        <v>7775</v>
      </c>
      <c r="C19" s="7">
        <v>0.215</v>
      </c>
      <c r="D19" s="3">
        <v>20</v>
      </c>
      <c r="E19" s="3">
        <v>85.2</v>
      </c>
      <c r="F19" s="3">
        <v>4.8899999999999997</v>
      </c>
      <c r="G19" s="3">
        <v>1</v>
      </c>
      <c r="H19" s="3">
        <v>4.2</v>
      </c>
      <c r="I19" s="3">
        <v>726776.22</v>
      </c>
      <c r="J19">
        <f t="shared" si="0"/>
        <v>751972.32655000011</v>
      </c>
      <c r="K19">
        <f t="shared" si="1"/>
        <v>-25196.106550000142</v>
      </c>
    </row>
    <row r="20" spans="1:11">
      <c r="A20" s="3">
        <v>81801.8</v>
      </c>
      <c r="B20" s="3">
        <v>6782</v>
      </c>
      <c r="C20" s="7">
        <v>0.05</v>
      </c>
      <c r="D20" s="3">
        <v>16</v>
      </c>
      <c r="E20" s="3">
        <v>99</v>
      </c>
      <c r="F20" s="3">
        <v>9.5399999999999991</v>
      </c>
      <c r="G20" s="3">
        <v>0</v>
      </c>
      <c r="H20" s="3">
        <v>3.7</v>
      </c>
      <c r="I20" s="3">
        <v>764949</v>
      </c>
      <c r="J20">
        <f t="shared" si="0"/>
        <v>733668.25190000003</v>
      </c>
      <c r="K20">
        <f t="shared" si="1"/>
        <v>31280.748099999968</v>
      </c>
    </row>
    <row r="21" spans="1:11">
      <c r="A21" s="3">
        <v>81796.740000000005</v>
      </c>
      <c r="B21" s="3">
        <v>6177</v>
      </c>
      <c r="C21" s="7">
        <v>0.16400000000000001</v>
      </c>
      <c r="D21" s="3">
        <v>14</v>
      </c>
      <c r="E21" s="3">
        <v>87.9</v>
      </c>
      <c r="F21" s="3">
        <v>0.53</v>
      </c>
      <c r="G21" s="3">
        <v>0</v>
      </c>
      <c r="H21" s="3">
        <v>3.2</v>
      </c>
      <c r="I21" s="3">
        <v>643428.85</v>
      </c>
      <c r="J21">
        <f t="shared" si="0"/>
        <v>690154.2851000001</v>
      </c>
      <c r="K21">
        <f t="shared" si="1"/>
        <v>-46725.435100000119</v>
      </c>
    </row>
    <row r="22" spans="1:11">
      <c r="A22" s="3">
        <v>81195.5</v>
      </c>
      <c r="B22" s="3">
        <v>5516</v>
      </c>
      <c r="C22" s="7">
        <v>0.106</v>
      </c>
      <c r="D22" s="3">
        <v>14</v>
      </c>
      <c r="E22" s="3">
        <v>88</v>
      </c>
      <c r="F22" s="3">
        <v>1.76</v>
      </c>
      <c r="G22" s="3">
        <v>0</v>
      </c>
      <c r="H22" s="3">
        <v>4.3</v>
      </c>
      <c r="I22" s="3">
        <v>720852.5</v>
      </c>
      <c r="J22">
        <f t="shared" si="0"/>
        <v>683370.40650000004</v>
      </c>
      <c r="K22">
        <f t="shared" si="1"/>
        <v>37482.093499999959</v>
      </c>
    </row>
    <row r="23" spans="1:11">
      <c r="A23" s="3">
        <v>80562.81</v>
      </c>
      <c r="B23" s="3">
        <v>7470</v>
      </c>
      <c r="C23" s="7">
        <v>0.17199999999999999</v>
      </c>
      <c r="D23" s="3">
        <v>16</v>
      </c>
      <c r="E23" s="3">
        <v>83.5</v>
      </c>
      <c r="F23" s="3">
        <v>2.29</v>
      </c>
      <c r="G23" s="3">
        <v>0</v>
      </c>
      <c r="H23" s="3">
        <v>3.3</v>
      </c>
      <c r="I23" s="3">
        <v>776922.17</v>
      </c>
      <c r="J23">
        <f t="shared" si="0"/>
        <v>713160.91149999993</v>
      </c>
      <c r="K23">
        <f t="shared" si="1"/>
        <v>63761.258500000113</v>
      </c>
    </row>
    <row r="24" spans="1:11">
      <c r="A24" s="3">
        <v>80176.34</v>
      </c>
      <c r="B24" s="3">
        <v>9489</v>
      </c>
      <c r="C24" s="7">
        <v>0.14199999999999999</v>
      </c>
      <c r="D24" s="3">
        <v>22</v>
      </c>
      <c r="E24" s="3">
        <v>94.3</v>
      </c>
      <c r="F24" s="3">
        <v>2.67</v>
      </c>
      <c r="G24" s="3">
        <v>0</v>
      </c>
      <c r="H24" s="3">
        <v>3.5</v>
      </c>
      <c r="I24" s="3">
        <v>873380.02</v>
      </c>
      <c r="J24">
        <f t="shared" si="0"/>
        <v>822612.77820000006</v>
      </c>
      <c r="K24">
        <f t="shared" si="1"/>
        <v>50767.24179999996</v>
      </c>
    </row>
    <row r="25" spans="1:11">
      <c r="A25" s="3">
        <v>79346.100000000006</v>
      </c>
      <c r="B25" s="3">
        <v>9628</v>
      </c>
      <c r="C25" s="7">
        <v>0.10199999999999999</v>
      </c>
      <c r="D25" s="3">
        <v>20</v>
      </c>
      <c r="E25" s="3">
        <v>99</v>
      </c>
      <c r="F25" s="3">
        <v>19.010000000000002</v>
      </c>
      <c r="G25" s="3">
        <v>1</v>
      </c>
      <c r="H25" s="3">
        <v>3.2</v>
      </c>
      <c r="I25" s="3">
        <v>685379.08</v>
      </c>
      <c r="J25">
        <f t="shared" si="0"/>
        <v>798952.81339999998</v>
      </c>
      <c r="K25">
        <f t="shared" si="1"/>
        <v>-113573.73340000003</v>
      </c>
    </row>
    <row r="26" spans="1:11">
      <c r="A26" s="3">
        <v>78967.520000000004</v>
      </c>
      <c r="B26" s="3">
        <v>6164</v>
      </c>
      <c r="C26" s="7">
        <v>2.1000000000000001E-2</v>
      </c>
      <c r="D26" s="3">
        <v>16</v>
      </c>
      <c r="E26" s="3">
        <v>85.5</v>
      </c>
      <c r="F26" s="3">
        <v>0.2</v>
      </c>
      <c r="G26" s="3">
        <v>0</v>
      </c>
      <c r="H26" s="3">
        <v>3.4</v>
      </c>
      <c r="I26" s="3">
        <v>702052.47</v>
      </c>
      <c r="J26">
        <f t="shared" si="0"/>
        <v>698629.34574999986</v>
      </c>
      <c r="K26">
        <f t="shared" si="1"/>
        <v>3423.1242500001099</v>
      </c>
    </row>
    <row r="27" spans="1:11">
      <c r="A27" s="3">
        <v>78839.39</v>
      </c>
      <c r="B27" s="3">
        <v>5150</v>
      </c>
      <c r="C27" s="7">
        <v>0.17100000000000001</v>
      </c>
      <c r="D27" s="3">
        <v>13</v>
      </c>
      <c r="E27" s="3">
        <v>85.8</v>
      </c>
      <c r="F27" s="3">
        <v>7.57</v>
      </c>
      <c r="G27" s="3">
        <v>0</v>
      </c>
      <c r="H27" s="3">
        <v>4.3</v>
      </c>
      <c r="I27" s="3">
        <v>735509.4</v>
      </c>
      <c r="J27">
        <f t="shared" si="0"/>
        <v>639346.67555000004</v>
      </c>
      <c r="K27">
        <f t="shared" si="1"/>
        <v>96162.72444999998</v>
      </c>
    </row>
    <row r="28" spans="1:11">
      <c r="A28" s="3">
        <v>78831.12</v>
      </c>
      <c r="B28" s="3">
        <v>5538</v>
      </c>
      <c r="C28" s="7">
        <v>0</v>
      </c>
      <c r="D28" s="3">
        <v>15</v>
      </c>
      <c r="E28" s="3">
        <v>94.1</v>
      </c>
      <c r="F28" s="3">
        <v>0.2</v>
      </c>
      <c r="G28" s="3">
        <v>0</v>
      </c>
      <c r="H28" s="3">
        <v>3.9</v>
      </c>
      <c r="I28" s="3">
        <v>666573.19999999995</v>
      </c>
      <c r="J28">
        <f t="shared" si="0"/>
        <v>710343.66059999994</v>
      </c>
      <c r="K28">
        <f t="shared" si="1"/>
        <v>-43770.460599999991</v>
      </c>
    </row>
    <row r="29" spans="1:11">
      <c r="A29" s="3">
        <v>78432.14</v>
      </c>
      <c r="B29" s="3">
        <v>9440</v>
      </c>
      <c r="C29" s="7">
        <v>0.126</v>
      </c>
      <c r="D29" s="3">
        <v>23</v>
      </c>
      <c r="E29" s="3">
        <v>89.2</v>
      </c>
      <c r="F29" s="3">
        <v>7.86</v>
      </c>
      <c r="G29" s="3">
        <v>0</v>
      </c>
      <c r="H29" s="3">
        <v>4.0999999999999996</v>
      </c>
      <c r="I29" s="3">
        <v>820729.29</v>
      </c>
      <c r="J29">
        <f t="shared" si="0"/>
        <v>799427.02969999984</v>
      </c>
      <c r="K29">
        <f t="shared" si="1"/>
        <v>21302.260300000198</v>
      </c>
    </row>
    <row r="30" spans="1:11">
      <c r="A30" s="3">
        <v>78231.91</v>
      </c>
      <c r="B30" s="3">
        <v>3788</v>
      </c>
      <c r="C30" s="7">
        <v>5.8999999999999997E-2</v>
      </c>
      <c r="D30" s="3">
        <v>11</v>
      </c>
      <c r="E30" s="3">
        <v>88.5</v>
      </c>
      <c r="F30" s="3">
        <v>15.51</v>
      </c>
      <c r="G30" s="3">
        <v>0</v>
      </c>
      <c r="H30" s="3">
        <v>4.3</v>
      </c>
      <c r="I30" s="3">
        <v>614596.31999999995</v>
      </c>
      <c r="J30">
        <f t="shared" si="0"/>
        <v>587719.84975000005</v>
      </c>
      <c r="K30">
        <f t="shared" si="1"/>
        <v>26876.470249999897</v>
      </c>
    </row>
    <row r="31" spans="1:11">
      <c r="A31" s="3">
        <v>78111.97</v>
      </c>
      <c r="B31" s="3">
        <v>6389</v>
      </c>
      <c r="C31" s="7">
        <v>0.15</v>
      </c>
      <c r="D31" s="3">
        <v>13</v>
      </c>
      <c r="E31" s="3">
        <v>83.9</v>
      </c>
      <c r="F31" s="3">
        <v>3.05</v>
      </c>
      <c r="G31" s="3">
        <v>0</v>
      </c>
      <c r="H31" s="3">
        <v>4.8</v>
      </c>
      <c r="I31" s="3">
        <v>787715.51</v>
      </c>
      <c r="J31">
        <f t="shared" si="0"/>
        <v>687272.82759999996</v>
      </c>
      <c r="K31">
        <f t="shared" si="1"/>
        <v>100442.68240000005</v>
      </c>
    </row>
    <row r="32" spans="1:11">
      <c r="A32" s="3">
        <v>77999.899999999994</v>
      </c>
      <c r="B32" s="3">
        <v>5974</v>
      </c>
      <c r="C32" s="7">
        <v>0.252</v>
      </c>
      <c r="D32" s="3">
        <v>14</v>
      </c>
      <c r="E32" s="3">
        <v>81.3</v>
      </c>
      <c r="F32" s="3">
        <v>2.39</v>
      </c>
      <c r="G32" s="3">
        <v>0</v>
      </c>
      <c r="H32" s="3">
        <v>3.2</v>
      </c>
      <c r="I32" s="3">
        <v>636561.34</v>
      </c>
      <c r="J32">
        <f t="shared" si="0"/>
        <v>648603.04370000015</v>
      </c>
      <c r="K32">
        <f t="shared" si="1"/>
        <v>-12041.703700000187</v>
      </c>
    </row>
    <row r="33" spans="1:11">
      <c r="A33" s="3">
        <v>76942.2</v>
      </c>
      <c r="B33" s="3">
        <v>8934</v>
      </c>
      <c r="C33" s="7">
        <v>8.4000000000000005E-2</v>
      </c>
      <c r="D33" s="3">
        <v>20</v>
      </c>
      <c r="E33" s="3">
        <v>91</v>
      </c>
      <c r="F33" s="3">
        <v>0.95</v>
      </c>
      <c r="G33" s="3">
        <v>0</v>
      </c>
      <c r="H33" s="3">
        <v>3.2</v>
      </c>
      <c r="I33" s="3">
        <v>802001.68</v>
      </c>
      <c r="J33">
        <f t="shared" si="0"/>
        <v>793406.53210000007</v>
      </c>
      <c r="K33">
        <f t="shared" si="1"/>
        <v>8595.1478999999817</v>
      </c>
    </row>
    <row r="34" spans="1:11">
      <c r="A34" s="3">
        <v>76614.320000000007</v>
      </c>
      <c r="B34" s="3">
        <v>5639</v>
      </c>
      <c r="C34" s="7">
        <v>0.17399999999999999</v>
      </c>
      <c r="D34" s="3">
        <v>15</v>
      </c>
      <c r="E34" s="3">
        <v>92.9</v>
      </c>
      <c r="F34" s="3">
        <v>1.02</v>
      </c>
      <c r="G34" s="3">
        <v>1</v>
      </c>
      <c r="H34" s="3">
        <v>4</v>
      </c>
      <c r="I34" s="3">
        <v>620264.19999999995</v>
      </c>
      <c r="J34">
        <f t="shared" si="0"/>
        <v>705925.5919</v>
      </c>
      <c r="K34">
        <f t="shared" si="1"/>
        <v>-85661.391900000046</v>
      </c>
    </row>
    <row r="35" spans="1:11">
      <c r="A35" s="3">
        <v>75645.23</v>
      </c>
      <c r="B35" s="3">
        <v>9674</v>
      </c>
      <c r="C35" s="7">
        <v>0.23400000000000001</v>
      </c>
      <c r="D35" s="3">
        <v>21</v>
      </c>
      <c r="E35" s="3">
        <v>87.4</v>
      </c>
      <c r="F35" s="3">
        <v>0.2</v>
      </c>
      <c r="G35" s="3">
        <v>0</v>
      </c>
      <c r="H35" s="4">
        <v>4.5</v>
      </c>
      <c r="I35" s="3">
        <v>785028.25</v>
      </c>
      <c r="J35">
        <f t="shared" si="0"/>
        <v>809812.72750000004</v>
      </c>
      <c r="K35">
        <f t="shared" si="1"/>
        <v>-24784.477500000037</v>
      </c>
    </row>
    <row r="36" spans="1:11">
      <c r="A36" s="3">
        <v>75412.740000000005</v>
      </c>
      <c r="B36" s="3">
        <v>5641</v>
      </c>
      <c r="C36" s="7">
        <v>5.8999999999999997E-2</v>
      </c>
      <c r="D36" s="3">
        <v>13</v>
      </c>
      <c r="E36" s="3">
        <v>87.9</v>
      </c>
      <c r="F36" s="3">
        <v>0.84</v>
      </c>
      <c r="G36" s="3">
        <v>0</v>
      </c>
      <c r="H36" s="3">
        <v>3.6</v>
      </c>
      <c r="I36" s="3">
        <v>720079.54</v>
      </c>
      <c r="J36">
        <f t="shared" si="0"/>
        <v>675459.7734500001</v>
      </c>
      <c r="K36">
        <f t="shared" si="1"/>
        <v>44619.766549999942</v>
      </c>
    </row>
    <row r="37" spans="1:11">
      <c r="A37" s="3">
        <v>75305.710000000006</v>
      </c>
      <c r="B37" s="3">
        <v>10940</v>
      </c>
      <c r="C37" s="7">
        <v>6.0000000000000001E-3</v>
      </c>
      <c r="D37" s="3">
        <v>26</v>
      </c>
      <c r="E37" s="3">
        <v>76.5</v>
      </c>
      <c r="F37" s="3">
        <v>1.32</v>
      </c>
      <c r="G37" s="3">
        <v>0</v>
      </c>
      <c r="H37" s="3">
        <v>4.5</v>
      </c>
      <c r="I37" s="3">
        <v>834017.02</v>
      </c>
      <c r="J37">
        <f t="shared" si="0"/>
        <v>840514.79890000005</v>
      </c>
      <c r="K37">
        <f t="shared" si="1"/>
        <v>-6497.7789000000339</v>
      </c>
    </row>
    <row r="38" spans="1:11">
      <c r="A38" s="3">
        <v>75269.87</v>
      </c>
      <c r="B38" s="3">
        <v>8838</v>
      </c>
      <c r="C38" s="7">
        <v>9.1999999999999998E-2</v>
      </c>
      <c r="D38" s="3">
        <v>21</v>
      </c>
      <c r="E38" s="3">
        <v>83.1</v>
      </c>
      <c r="F38" s="3">
        <v>9.56</v>
      </c>
      <c r="G38" s="3">
        <v>1</v>
      </c>
      <c r="H38" s="3">
        <v>4.2</v>
      </c>
      <c r="I38" s="3">
        <v>820593.93</v>
      </c>
      <c r="J38">
        <f t="shared" si="0"/>
        <v>766019.40399999986</v>
      </c>
      <c r="K38">
        <f t="shared" si="1"/>
        <v>54574.526000000187</v>
      </c>
    </row>
    <row r="39" spans="1:11">
      <c r="A39" s="3">
        <v>75265.02</v>
      </c>
      <c r="B39" s="3">
        <v>6975</v>
      </c>
      <c r="C39" s="7">
        <v>0.157</v>
      </c>
      <c r="D39" s="3">
        <v>20</v>
      </c>
      <c r="E39" s="3">
        <v>73.8</v>
      </c>
      <c r="F39" s="3">
        <v>6.35</v>
      </c>
      <c r="G39" s="3">
        <v>1</v>
      </c>
      <c r="H39" s="3">
        <v>3.8</v>
      </c>
      <c r="I39" s="3">
        <v>709478.39</v>
      </c>
      <c r="J39">
        <f t="shared" si="0"/>
        <v>683513.47365000006</v>
      </c>
      <c r="K39">
        <f t="shared" si="1"/>
        <v>25964.916349999956</v>
      </c>
    </row>
    <row r="40" spans="1:11">
      <c r="A40" s="3">
        <v>75109.67</v>
      </c>
      <c r="B40" s="3">
        <v>6244</v>
      </c>
      <c r="C40" s="7">
        <v>7.9000000000000001E-2</v>
      </c>
      <c r="D40" s="3">
        <v>15</v>
      </c>
      <c r="E40" s="3">
        <v>96.3</v>
      </c>
      <c r="F40" s="3">
        <v>7.38</v>
      </c>
      <c r="G40" s="3">
        <v>0</v>
      </c>
      <c r="H40" s="3">
        <v>3.7</v>
      </c>
      <c r="I40" s="3">
        <v>743348.84</v>
      </c>
      <c r="J40">
        <f t="shared" si="0"/>
        <v>703796.10025000013</v>
      </c>
      <c r="K40">
        <f t="shared" si="1"/>
        <v>39552.739749999833</v>
      </c>
    </row>
    <row r="41" spans="1:11">
      <c r="A41" s="3">
        <v>74954.47</v>
      </c>
      <c r="B41" s="3">
        <v>6620</v>
      </c>
      <c r="C41" s="7">
        <v>5.3999999999999999E-2</v>
      </c>
      <c r="D41" s="3">
        <v>17</v>
      </c>
      <c r="E41" s="3">
        <v>91.1</v>
      </c>
      <c r="F41" s="3">
        <v>1.1100000000000001</v>
      </c>
      <c r="G41" s="3">
        <v>0</v>
      </c>
      <c r="H41" s="3">
        <v>3.5</v>
      </c>
      <c r="I41" s="3">
        <v>761860.19</v>
      </c>
      <c r="J41">
        <f t="shared" si="0"/>
        <v>722416.23080000002</v>
      </c>
      <c r="K41">
        <f t="shared" si="1"/>
        <v>39443.959199999925</v>
      </c>
    </row>
    <row r="42" spans="1:11">
      <c r="A42" s="3">
        <v>74907.98</v>
      </c>
      <c r="B42" s="3">
        <v>5306</v>
      </c>
      <c r="C42" s="7">
        <v>6.2E-2</v>
      </c>
      <c r="D42" s="3">
        <v>16</v>
      </c>
      <c r="E42" s="3">
        <v>95.6</v>
      </c>
      <c r="F42" s="3">
        <v>1.02</v>
      </c>
      <c r="G42" s="3">
        <v>0</v>
      </c>
      <c r="H42" s="3">
        <v>3.7</v>
      </c>
      <c r="I42" s="3">
        <v>749559.71</v>
      </c>
      <c r="J42">
        <f t="shared" si="0"/>
        <v>697781.86089999997</v>
      </c>
      <c r="K42">
        <f t="shared" si="1"/>
        <v>51777.849099999992</v>
      </c>
    </row>
    <row r="43" spans="1:11">
      <c r="A43" s="3">
        <v>74881.56</v>
      </c>
      <c r="B43" s="3">
        <v>9999</v>
      </c>
      <c r="C43" s="7">
        <v>1.2999999999999999E-2</v>
      </c>
      <c r="D43" s="3">
        <v>20</v>
      </c>
      <c r="E43" s="3">
        <v>89.6</v>
      </c>
      <c r="F43" s="3">
        <v>8.44</v>
      </c>
      <c r="G43" s="3">
        <v>0</v>
      </c>
      <c r="H43" s="3">
        <v>4.0999999999999996</v>
      </c>
      <c r="I43" s="3">
        <v>898031.04</v>
      </c>
      <c r="J43">
        <f t="shared" si="0"/>
        <v>809527.24315000011</v>
      </c>
      <c r="K43">
        <f t="shared" si="1"/>
        <v>88503.796849999926</v>
      </c>
    </row>
    <row r="44" spans="1:11">
      <c r="A44" s="3">
        <v>74679.350000000006</v>
      </c>
      <c r="B44" s="3">
        <v>8739</v>
      </c>
      <c r="C44" s="7">
        <v>5.6000000000000001E-2</v>
      </c>
      <c r="D44" s="3">
        <v>21</v>
      </c>
      <c r="E44" s="3">
        <v>91.8</v>
      </c>
      <c r="F44" s="3">
        <v>2.83</v>
      </c>
      <c r="G44" s="3">
        <v>0</v>
      </c>
      <c r="H44" s="3">
        <v>3</v>
      </c>
      <c r="I44" s="3">
        <v>783797.89</v>
      </c>
      <c r="J44">
        <f t="shared" si="0"/>
        <v>785170.1577000001</v>
      </c>
      <c r="K44">
        <f t="shared" si="1"/>
        <v>-1372.267700000084</v>
      </c>
    </row>
    <row r="45" spans="1:11">
      <c r="A45" s="3">
        <v>74539.14</v>
      </c>
      <c r="B45" s="3">
        <v>4487</v>
      </c>
      <c r="C45" s="7">
        <v>0.14000000000000001</v>
      </c>
      <c r="D45" s="3">
        <v>10</v>
      </c>
      <c r="E45" s="3">
        <v>90.4</v>
      </c>
      <c r="F45" s="3">
        <v>0.59</v>
      </c>
      <c r="G45" s="3">
        <v>0</v>
      </c>
      <c r="H45" s="3">
        <v>4.5</v>
      </c>
      <c r="I45" s="3">
        <v>633009.53</v>
      </c>
      <c r="J45">
        <f t="shared" si="0"/>
        <v>644882.66710000008</v>
      </c>
      <c r="K45">
        <f t="shared" si="1"/>
        <v>-11873.137100000051</v>
      </c>
    </row>
    <row r="46" spans="1:11">
      <c r="A46" s="3">
        <v>74413.88</v>
      </c>
      <c r="B46" s="3">
        <v>9449</v>
      </c>
      <c r="C46" s="7">
        <v>3.9E-2</v>
      </c>
      <c r="D46" s="3">
        <v>23</v>
      </c>
      <c r="E46" s="3">
        <v>92.1</v>
      </c>
      <c r="F46" s="3">
        <v>2.12</v>
      </c>
      <c r="G46" s="3">
        <v>0</v>
      </c>
      <c r="H46" s="3">
        <v>3.5</v>
      </c>
      <c r="I46" s="3">
        <v>798952.17</v>
      </c>
      <c r="J46">
        <f t="shared" si="0"/>
        <v>820129.64945000003</v>
      </c>
      <c r="K46">
        <f t="shared" si="1"/>
        <v>-21177.479449999984</v>
      </c>
    </row>
    <row r="47" spans="1:11">
      <c r="A47" s="3">
        <v>73771.91</v>
      </c>
      <c r="B47" s="3">
        <v>11695</v>
      </c>
      <c r="C47" s="7">
        <v>7.0000000000000007E-2</v>
      </c>
      <c r="D47" s="3">
        <v>25</v>
      </c>
      <c r="E47" s="3">
        <v>84.7</v>
      </c>
      <c r="F47" s="3">
        <v>0.62</v>
      </c>
      <c r="G47" s="3">
        <v>0</v>
      </c>
      <c r="H47" s="3">
        <v>3.92</v>
      </c>
      <c r="I47" s="3">
        <v>799477.76000000001</v>
      </c>
      <c r="J47">
        <f t="shared" si="0"/>
        <v>872650.14970000007</v>
      </c>
      <c r="K47">
        <f t="shared" si="1"/>
        <v>-73172.389700000058</v>
      </c>
    </row>
    <row r="48" spans="1:11">
      <c r="A48" s="3">
        <v>73540.990000000005</v>
      </c>
      <c r="B48" s="3">
        <v>8773</v>
      </c>
      <c r="C48" s="7">
        <v>3.5000000000000003E-2</v>
      </c>
      <c r="D48" s="3">
        <v>21</v>
      </c>
      <c r="E48" s="3">
        <v>84.4</v>
      </c>
      <c r="F48" s="3">
        <v>6.68</v>
      </c>
      <c r="G48" s="3">
        <v>0</v>
      </c>
      <c r="H48" s="3">
        <v>3.6</v>
      </c>
      <c r="I48" s="3">
        <v>723531.4</v>
      </c>
      <c r="J48">
        <f t="shared" si="0"/>
        <v>759380.9892500001</v>
      </c>
      <c r="K48">
        <f t="shared" si="1"/>
        <v>-35849.589250000077</v>
      </c>
    </row>
    <row r="49" spans="1:11">
      <c r="A49" s="3">
        <v>73454.539999999994</v>
      </c>
      <c r="B49" s="3">
        <v>8129</v>
      </c>
      <c r="C49" s="7">
        <v>0.21099999999999999</v>
      </c>
      <c r="D49" s="3">
        <v>20</v>
      </c>
      <c r="E49" s="3">
        <v>85.2</v>
      </c>
      <c r="F49" s="3">
        <v>0.88</v>
      </c>
      <c r="G49" s="3">
        <v>0</v>
      </c>
      <c r="H49" s="3">
        <v>3.7</v>
      </c>
      <c r="I49" s="3">
        <v>767792.94</v>
      </c>
      <c r="J49">
        <f t="shared" si="0"/>
        <v>745744.81964999996</v>
      </c>
      <c r="K49">
        <f t="shared" si="1"/>
        <v>22048.120349999983</v>
      </c>
    </row>
    <row r="50" spans="1:11">
      <c r="A50" s="3">
        <v>72961.95</v>
      </c>
      <c r="B50" s="3">
        <v>9996</v>
      </c>
      <c r="C50" s="7">
        <v>0.106</v>
      </c>
      <c r="D50" s="3">
        <v>22</v>
      </c>
      <c r="E50" s="3">
        <v>89.1</v>
      </c>
      <c r="F50" s="3">
        <v>15.66</v>
      </c>
      <c r="G50" s="3">
        <v>0</v>
      </c>
      <c r="H50" s="3">
        <v>3.4</v>
      </c>
      <c r="I50" s="3">
        <v>810355.02</v>
      </c>
      <c r="J50">
        <f t="shared" si="0"/>
        <v>776859.43550000002</v>
      </c>
      <c r="K50">
        <f t="shared" si="1"/>
        <v>33495.584499999997</v>
      </c>
    </row>
    <row r="51" spans="1:11">
      <c r="A51" s="3">
        <v>72932.55</v>
      </c>
      <c r="B51" s="3">
        <v>5765</v>
      </c>
      <c r="C51" s="7">
        <v>2.5999999999999999E-2</v>
      </c>
      <c r="D51" s="3">
        <v>17</v>
      </c>
      <c r="E51" s="3">
        <v>81.8</v>
      </c>
      <c r="F51" s="3">
        <v>5.0999999999999996</v>
      </c>
      <c r="G51" s="3">
        <v>0</v>
      </c>
      <c r="H51" s="3">
        <v>3.6</v>
      </c>
      <c r="I51" s="3">
        <v>642751.42000000004</v>
      </c>
      <c r="J51">
        <f t="shared" si="0"/>
        <v>659903.88189999992</v>
      </c>
      <c r="K51">
        <f t="shared" si="1"/>
        <v>-17152.461899999878</v>
      </c>
    </row>
    <row r="52" spans="1:11">
      <c r="A52" s="3">
        <v>72784.800000000003</v>
      </c>
      <c r="B52" s="3">
        <v>7932</v>
      </c>
      <c r="C52" s="7">
        <v>9.4E-2</v>
      </c>
      <c r="D52" s="3">
        <v>20</v>
      </c>
      <c r="E52" s="3">
        <v>74.900000000000006</v>
      </c>
      <c r="F52" s="3">
        <v>13.62</v>
      </c>
      <c r="G52" s="3">
        <v>0</v>
      </c>
      <c r="H52" s="3">
        <v>4.2</v>
      </c>
      <c r="I52" s="3">
        <v>712546.38</v>
      </c>
      <c r="J52">
        <f t="shared" si="0"/>
        <v>685615.28430000017</v>
      </c>
      <c r="K52">
        <f t="shared" si="1"/>
        <v>26931.095699999831</v>
      </c>
    </row>
    <row r="53" spans="1:11">
      <c r="A53" s="3">
        <v>72731.14</v>
      </c>
      <c r="B53" s="3">
        <v>4644</v>
      </c>
      <c r="C53" s="7">
        <v>8.4000000000000005E-2</v>
      </c>
      <c r="D53" s="3">
        <v>15</v>
      </c>
      <c r="E53" s="3">
        <v>87.1</v>
      </c>
      <c r="F53" s="3">
        <v>2.66</v>
      </c>
      <c r="G53" s="3">
        <v>0</v>
      </c>
      <c r="H53" s="3">
        <v>4.5999999999999996</v>
      </c>
      <c r="I53" s="3">
        <v>727241.86</v>
      </c>
      <c r="J53">
        <f t="shared" si="0"/>
        <v>651417.22239999997</v>
      </c>
      <c r="K53">
        <f t="shared" si="1"/>
        <v>75824.637600000016</v>
      </c>
    </row>
    <row r="54" spans="1:11">
      <c r="A54" s="3">
        <v>72150.53</v>
      </c>
      <c r="B54" s="3">
        <v>9323</v>
      </c>
      <c r="C54" s="7">
        <v>0.157</v>
      </c>
      <c r="D54" s="3">
        <v>22</v>
      </c>
      <c r="E54" s="3">
        <v>82.9</v>
      </c>
      <c r="F54" s="3">
        <v>11.37</v>
      </c>
      <c r="G54" s="3">
        <v>1</v>
      </c>
      <c r="H54" s="3">
        <v>4.3</v>
      </c>
      <c r="I54" s="3">
        <v>825797.91</v>
      </c>
      <c r="J54">
        <f t="shared" si="0"/>
        <v>769468.62265000003</v>
      </c>
      <c r="K54">
        <f t="shared" si="1"/>
        <v>56329.287349999999</v>
      </c>
    </row>
    <row r="55" spans="1:11">
      <c r="A55" s="3">
        <v>71941.62</v>
      </c>
      <c r="B55" s="3">
        <v>6084</v>
      </c>
      <c r="C55" s="7">
        <v>7.1999999999999995E-2</v>
      </c>
      <c r="D55" s="3">
        <v>13</v>
      </c>
      <c r="E55" s="3">
        <v>93.7</v>
      </c>
      <c r="F55" s="3">
        <v>2.34</v>
      </c>
      <c r="G55" s="3">
        <v>0</v>
      </c>
      <c r="H55" s="3">
        <v>4.4000000000000004</v>
      </c>
      <c r="I55" s="3">
        <v>681855.56</v>
      </c>
      <c r="J55">
        <f t="shared" si="0"/>
        <v>704173.42980000004</v>
      </c>
      <c r="K55">
        <f t="shared" si="1"/>
        <v>-22317.869799999986</v>
      </c>
    </row>
    <row r="56" spans="1:11">
      <c r="A56" s="3">
        <v>71855.09</v>
      </c>
      <c r="B56" s="3">
        <v>5911</v>
      </c>
      <c r="C56" s="7">
        <v>0.19700000000000001</v>
      </c>
      <c r="D56" s="3">
        <v>15</v>
      </c>
      <c r="E56" s="3">
        <v>94.3</v>
      </c>
      <c r="F56" s="3">
        <v>3.55</v>
      </c>
      <c r="G56" s="3">
        <v>0</v>
      </c>
      <c r="H56" s="3">
        <v>4.0999999999999996</v>
      </c>
      <c r="I56" s="3">
        <v>725847.99</v>
      </c>
      <c r="J56">
        <f t="shared" si="0"/>
        <v>691404.07724999997</v>
      </c>
      <c r="K56">
        <f t="shared" si="1"/>
        <v>34443.912750000018</v>
      </c>
    </row>
    <row r="57" spans="1:11">
      <c r="A57" s="3">
        <v>71851.45</v>
      </c>
      <c r="B57" s="3">
        <v>4970</v>
      </c>
      <c r="C57" s="7">
        <v>9.8000000000000004E-2</v>
      </c>
      <c r="D57" s="3">
        <v>11</v>
      </c>
      <c r="E57" s="3">
        <v>89.6</v>
      </c>
      <c r="F57" s="3">
        <v>0.2</v>
      </c>
      <c r="G57" s="3">
        <v>0</v>
      </c>
      <c r="H57" s="3">
        <v>4.2</v>
      </c>
      <c r="I57" s="3">
        <v>691447.43</v>
      </c>
      <c r="J57">
        <f t="shared" si="0"/>
        <v>656856.1017</v>
      </c>
      <c r="K57">
        <f t="shared" si="1"/>
        <v>34591.328300000052</v>
      </c>
    </row>
    <row r="58" spans="1:11">
      <c r="A58" s="3">
        <v>71838.86</v>
      </c>
      <c r="B58" s="3">
        <v>10979</v>
      </c>
      <c r="C58" s="7">
        <v>0.215</v>
      </c>
      <c r="D58" s="3">
        <v>26</v>
      </c>
      <c r="E58" s="3">
        <v>88.6</v>
      </c>
      <c r="F58" s="3">
        <v>7.7</v>
      </c>
      <c r="G58" s="3">
        <v>1</v>
      </c>
      <c r="H58" s="3">
        <v>3.8</v>
      </c>
      <c r="I58" s="3">
        <v>930581.7</v>
      </c>
      <c r="J58">
        <f t="shared" si="0"/>
        <v>845652.99505000003</v>
      </c>
      <c r="K58">
        <f t="shared" si="1"/>
        <v>84928.704949999927</v>
      </c>
    </row>
    <row r="59" spans="1:11">
      <c r="A59" s="3">
        <v>71828.259999999995</v>
      </c>
      <c r="B59" s="3">
        <v>12775</v>
      </c>
      <c r="C59" s="7">
        <v>0.11600000000000001</v>
      </c>
      <c r="D59" s="3">
        <v>30</v>
      </c>
      <c r="E59" s="3">
        <v>81.7</v>
      </c>
      <c r="F59" s="3">
        <v>4.24</v>
      </c>
      <c r="G59" s="3">
        <v>1</v>
      </c>
      <c r="H59" s="3">
        <v>4.2</v>
      </c>
      <c r="I59" s="3">
        <v>922168.6</v>
      </c>
      <c r="J59">
        <f t="shared" si="0"/>
        <v>908618.0906</v>
      </c>
      <c r="K59">
        <f t="shared" si="1"/>
        <v>13550.509399999981</v>
      </c>
    </row>
    <row r="60" spans="1:11">
      <c r="A60" s="3">
        <v>71641.899999999994</v>
      </c>
      <c r="B60" s="3">
        <v>3506</v>
      </c>
      <c r="C60" s="7">
        <v>0</v>
      </c>
      <c r="D60" s="3">
        <v>11</v>
      </c>
      <c r="E60" s="3">
        <v>86.4</v>
      </c>
      <c r="F60" s="3">
        <v>7.77</v>
      </c>
      <c r="G60" s="3">
        <v>0</v>
      </c>
      <c r="H60" s="3">
        <v>4.0999999999999996</v>
      </c>
      <c r="I60" s="3">
        <v>625993.82999999996</v>
      </c>
      <c r="J60">
        <f t="shared" si="0"/>
        <v>590259.20669999998</v>
      </c>
      <c r="K60">
        <f t="shared" si="1"/>
        <v>35734.623299999977</v>
      </c>
    </row>
    <row r="61" spans="1:11">
      <c r="A61" s="3">
        <v>71320.66</v>
      </c>
      <c r="B61" s="3">
        <v>7888</v>
      </c>
      <c r="C61" s="7">
        <v>4.8000000000000001E-2</v>
      </c>
      <c r="D61" s="3">
        <v>20</v>
      </c>
      <c r="E61" s="3">
        <v>78.099999999999994</v>
      </c>
      <c r="F61" s="3">
        <v>3.4</v>
      </c>
      <c r="G61" s="3">
        <v>0</v>
      </c>
      <c r="H61" s="3">
        <v>3.92</v>
      </c>
      <c r="I61" s="3">
        <v>633638.03</v>
      </c>
      <c r="J61">
        <f t="shared" si="0"/>
        <v>722058.66119999986</v>
      </c>
      <c r="K61">
        <f t="shared" si="1"/>
        <v>-88420.631199999829</v>
      </c>
    </row>
    <row r="62" spans="1:11">
      <c r="A62" s="3">
        <v>70937.240000000005</v>
      </c>
      <c r="B62" s="3">
        <v>3595</v>
      </c>
      <c r="C62" s="7">
        <v>0.14099999999999999</v>
      </c>
      <c r="D62" s="3">
        <v>11</v>
      </c>
      <c r="E62" s="3">
        <v>88.9</v>
      </c>
      <c r="F62" s="3">
        <v>2.83</v>
      </c>
      <c r="G62" s="3">
        <v>1</v>
      </c>
      <c r="H62" s="3">
        <v>3.3</v>
      </c>
      <c r="I62" s="3">
        <v>661927.14</v>
      </c>
      <c r="J62">
        <f t="shared" si="0"/>
        <v>607903.91665000003</v>
      </c>
      <c r="K62">
        <f t="shared" si="1"/>
        <v>54023.223349999986</v>
      </c>
    </row>
    <row r="63" spans="1:11">
      <c r="A63" s="3">
        <v>70799.64</v>
      </c>
      <c r="B63" s="3">
        <v>10076</v>
      </c>
      <c r="C63" s="7">
        <v>0.152</v>
      </c>
      <c r="D63" s="3">
        <v>24</v>
      </c>
      <c r="E63" s="3">
        <v>84.8</v>
      </c>
      <c r="F63" s="3">
        <v>1.87</v>
      </c>
      <c r="G63" s="3">
        <v>0</v>
      </c>
      <c r="H63" s="3">
        <v>3.5</v>
      </c>
      <c r="I63" s="3">
        <v>828219.67</v>
      </c>
      <c r="J63">
        <f t="shared" si="0"/>
        <v>807225.6557</v>
      </c>
      <c r="K63">
        <f t="shared" si="1"/>
        <v>20994.014300000039</v>
      </c>
    </row>
    <row r="64" spans="1:11">
      <c r="A64" s="3">
        <v>70488.2</v>
      </c>
      <c r="B64" s="3">
        <v>4312</v>
      </c>
      <c r="C64" s="7">
        <v>0.16900000000000001</v>
      </c>
      <c r="D64" s="3">
        <v>12</v>
      </c>
      <c r="E64" s="3">
        <v>90.2</v>
      </c>
      <c r="F64" s="3">
        <v>3.71</v>
      </c>
      <c r="G64" s="3">
        <v>0</v>
      </c>
      <c r="H64" s="3">
        <v>3.2</v>
      </c>
      <c r="I64" s="3">
        <v>577732.56999999995</v>
      </c>
      <c r="J64">
        <f t="shared" si="0"/>
        <v>615935.61545000004</v>
      </c>
      <c r="K64">
        <f t="shared" si="1"/>
        <v>-38203.045450000092</v>
      </c>
    </row>
    <row r="65" spans="1:11">
      <c r="A65" s="3">
        <v>70389.11</v>
      </c>
      <c r="B65" s="3">
        <v>8302</v>
      </c>
      <c r="C65" s="7">
        <v>4.2000000000000003E-2</v>
      </c>
      <c r="D65" s="3">
        <v>17</v>
      </c>
      <c r="E65" s="3">
        <v>75</v>
      </c>
      <c r="F65" s="3">
        <v>5.28</v>
      </c>
      <c r="G65" s="3">
        <v>1</v>
      </c>
      <c r="H65" s="3">
        <v>3.1</v>
      </c>
      <c r="I65" s="3">
        <v>658832.62</v>
      </c>
      <c r="J65">
        <f t="shared" si="0"/>
        <v>713515.75190000003</v>
      </c>
      <c r="K65">
        <f t="shared" si="1"/>
        <v>-54683.131900000037</v>
      </c>
    </row>
    <row r="66" spans="1:11">
      <c r="A66" s="3">
        <v>70366.759999999995</v>
      </c>
      <c r="B66" s="3">
        <v>1963</v>
      </c>
      <c r="C66" s="7">
        <v>0.182</v>
      </c>
      <c r="D66" s="3">
        <v>8</v>
      </c>
      <c r="E66" s="3">
        <v>89.8</v>
      </c>
      <c r="F66" s="3">
        <v>3.2</v>
      </c>
      <c r="G66" s="3">
        <v>0</v>
      </c>
      <c r="H66" s="3">
        <v>4.5999999999999996</v>
      </c>
      <c r="I66" s="3">
        <v>529075.94999999995</v>
      </c>
      <c r="J66">
        <f t="shared" si="0"/>
        <v>552013.30209999997</v>
      </c>
      <c r="K66">
        <f t="shared" si="1"/>
        <v>-22937.352100000018</v>
      </c>
    </row>
    <row r="67" spans="1:11">
      <c r="A67" s="3">
        <v>70284.06</v>
      </c>
      <c r="B67" s="3">
        <v>9109</v>
      </c>
      <c r="C67" s="7">
        <v>4.0000000000000001E-3</v>
      </c>
      <c r="D67" s="3">
        <v>23</v>
      </c>
      <c r="E67" s="3">
        <v>87</v>
      </c>
      <c r="F67" s="3">
        <v>3.65</v>
      </c>
      <c r="G67" s="3">
        <v>0</v>
      </c>
      <c r="H67" s="3">
        <v>3.7</v>
      </c>
      <c r="I67" s="3">
        <v>761122.42</v>
      </c>
      <c r="J67">
        <f t="shared" ref="J67:J130" si="2">96294.24+(1.18*A67)+(27.99*B67)-(71956.85*C67)+(3002.85*D67)+(2983.78*E67)-(2883.79*F67)+(12790.85*G67)+(10456.51*H67)</f>
        <v>790720.17690000008</v>
      </c>
      <c r="K67">
        <f t="shared" ref="K67:K130" si="3">I67-J67</f>
        <v>-29597.756900000037</v>
      </c>
    </row>
    <row r="68" spans="1:11">
      <c r="A68" s="3">
        <v>70276.28</v>
      </c>
      <c r="B68" s="3">
        <v>3043</v>
      </c>
      <c r="C68" s="7">
        <v>7.9000000000000001E-2</v>
      </c>
      <c r="D68" s="3">
        <v>9</v>
      </c>
      <c r="E68" s="3">
        <v>87.9</v>
      </c>
      <c r="F68" s="3">
        <v>3.77</v>
      </c>
      <c r="G68" s="3">
        <v>0</v>
      </c>
      <c r="H68" s="3">
        <v>4.4000000000000004</v>
      </c>
      <c r="I68" s="3">
        <v>527300.13</v>
      </c>
      <c r="J68">
        <f t="shared" si="2"/>
        <v>583145.89695000008</v>
      </c>
      <c r="K68">
        <f t="shared" si="3"/>
        <v>-55845.766950000077</v>
      </c>
    </row>
    <row r="69" spans="1:11">
      <c r="A69" s="3">
        <v>70144.78</v>
      </c>
      <c r="B69" s="3">
        <v>6806</v>
      </c>
      <c r="C69" s="7">
        <v>0.17799999999999999</v>
      </c>
      <c r="D69" s="3">
        <v>20</v>
      </c>
      <c r="E69" s="3">
        <v>93.1</v>
      </c>
      <c r="F69" s="3">
        <v>0.28000000000000003</v>
      </c>
      <c r="G69" s="3">
        <v>1</v>
      </c>
      <c r="H69" s="3">
        <v>4.3</v>
      </c>
      <c r="I69" s="3">
        <v>788087.68</v>
      </c>
      <c r="J69">
        <f t="shared" si="2"/>
        <v>751550.00089999998</v>
      </c>
      <c r="K69">
        <f t="shared" si="3"/>
        <v>36537.679100000067</v>
      </c>
    </row>
    <row r="70" spans="1:11">
      <c r="A70" s="3">
        <v>70040.31</v>
      </c>
      <c r="B70" s="3">
        <v>9175</v>
      </c>
      <c r="C70" s="7">
        <v>0.107</v>
      </c>
      <c r="D70" s="3">
        <v>23</v>
      </c>
      <c r="E70" s="3">
        <v>95.1</v>
      </c>
      <c r="F70" s="3">
        <v>6.08</v>
      </c>
      <c r="G70" s="3">
        <v>1</v>
      </c>
      <c r="H70" s="3">
        <v>3.4</v>
      </c>
      <c r="I70" s="3">
        <v>784502.68</v>
      </c>
      <c r="J70">
        <f t="shared" si="2"/>
        <v>811683.24164999987</v>
      </c>
      <c r="K70">
        <f t="shared" si="3"/>
        <v>-27180.561649999814</v>
      </c>
    </row>
    <row r="71" spans="1:11">
      <c r="A71" s="3">
        <v>70012.41</v>
      </c>
      <c r="B71" s="3">
        <v>8484</v>
      </c>
      <c r="C71" s="7">
        <v>0.27300000000000002</v>
      </c>
      <c r="D71" s="3">
        <v>23</v>
      </c>
      <c r="E71" s="3">
        <v>72.900000000000006</v>
      </c>
      <c r="F71" s="3">
        <v>3.34</v>
      </c>
      <c r="G71" s="3">
        <v>0</v>
      </c>
      <c r="H71" s="3">
        <v>3.7</v>
      </c>
      <c r="I71" s="3">
        <v>729424.42</v>
      </c>
      <c r="J71">
        <f t="shared" si="2"/>
        <v>712372.16414999985</v>
      </c>
      <c r="K71">
        <f t="shared" si="3"/>
        <v>17052.255850000191</v>
      </c>
    </row>
    <row r="72" spans="1:11">
      <c r="A72" s="3">
        <v>69900.12</v>
      </c>
      <c r="B72" s="3">
        <v>8055</v>
      </c>
      <c r="C72" s="7">
        <v>0.28100000000000003</v>
      </c>
      <c r="D72" s="3">
        <v>22</v>
      </c>
      <c r="E72" s="3">
        <v>85.6</v>
      </c>
      <c r="F72" s="3">
        <v>10.68</v>
      </c>
      <c r="G72" s="3">
        <v>1</v>
      </c>
      <c r="H72" s="3">
        <v>2.9</v>
      </c>
      <c r="I72" s="3">
        <v>776992.93</v>
      </c>
      <c r="J72">
        <f t="shared" si="2"/>
        <v>717806.07654999988</v>
      </c>
      <c r="K72">
        <f t="shared" si="3"/>
        <v>59186.85345000017</v>
      </c>
    </row>
    <row r="73" spans="1:11">
      <c r="A73" s="3">
        <v>69816.350000000006</v>
      </c>
      <c r="B73" s="3">
        <v>971</v>
      </c>
      <c r="C73" s="7">
        <v>0.16800000000000001</v>
      </c>
      <c r="D73" s="3">
        <v>5</v>
      </c>
      <c r="E73" s="3">
        <v>89.9</v>
      </c>
      <c r="F73" s="4">
        <v>12.15</v>
      </c>
      <c r="G73" s="3">
        <v>0</v>
      </c>
      <c r="H73" s="3">
        <v>3.6</v>
      </c>
      <c r="I73" s="3">
        <v>427917.38</v>
      </c>
      <c r="J73">
        <f t="shared" si="2"/>
        <v>479628.53170000005</v>
      </c>
      <c r="K73">
        <f t="shared" si="3"/>
        <v>-51711.151700000046</v>
      </c>
    </row>
    <row r="74" spans="1:11">
      <c r="A74" s="3">
        <v>69779</v>
      </c>
      <c r="B74" s="3">
        <v>6544</v>
      </c>
      <c r="C74" s="7">
        <v>0.152</v>
      </c>
      <c r="D74" s="3">
        <v>18</v>
      </c>
      <c r="E74" s="3">
        <v>90.2</v>
      </c>
      <c r="F74" s="3">
        <v>0.85</v>
      </c>
      <c r="G74" s="3">
        <v>1</v>
      </c>
      <c r="H74" s="3">
        <v>3.3</v>
      </c>
      <c r="I74" s="3">
        <v>758827.64</v>
      </c>
      <c r="J74">
        <f t="shared" si="2"/>
        <v>718896.94630000007</v>
      </c>
      <c r="K74">
        <f t="shared" si="3"/>
        <v>39930.693699999945</v>
      </c>
    </row>
    <row r="75" spans="1:11">
      <c r="A75" s="3">
        <v>69411.7</v>
      </c>
      <c r="B75" s="3">
        <v>5493</v>
      </c>
      <c r="C75" s="7">
        <v>0.29199999999999998</v>
      </c>
      <c r="D75" s="3">
        <v>13</v>
      </c>
      <c r="E75" s="3">
        <v>86.5</v>
      </c>
      <c r="F75" s="3">
        <v>6.69</v>
      </c>
      <c r="G75" s="3">
        <v>0</v>
      </c>
      <c r="H75" s="3">
        <v>3.8</v>
      </c>
      <c r="I75" s="3">
        <v>664162.49</v>
      </c>
      <c r="J75">
        <f t="shared" si="2"/>
        <v>628513.91870000004</v>
      </c>
      <c r="K75">
        <f t="shared" si="3"/>
        <v>35648.571299999952</v>
      </c>
    </row>
    <row r="76" spans="1:11">
      <c r="A76" s="3">
        <v>69180.539999999994</v>
      </c>
      <c r="B76" s="3">
        <v>5394</v>
      </c>
      <c r="C76" s="7">
        <v>0.126</v>
      </c>
      <c r="D76" s="3">
        <v>12</v>
      </c>
      <c r="E76" s="3">
        <v>82.9</v>
      </c>
      <c r="F76" s="3">
        <v>3.27</v>
      </c>
      <c r="G76" s="3">
        <v>0</v>
      </c>
      <c r="H76" s="3">
        <v>3.3</v>
      </c>
      <c r="I76" s="3">
        <v>674289.1</v>
      </c>
      <c r="J76">
        <f t="shared" si="2"/>
        <v>628304.82579999999</v>
      </c>
      <c r="K76">
        <f t="shared" si="3"/>
        <v>45984.274199999985</v>
      </c>
    </row>
    <row r="77" spans="1:11">
      <c r="A77" s="3">
        <v>68909.259999999995</v>
      </c>
      <c r="B77" s="3">
        <v>7794</v>
      </c>
      <c r="C77" s="7">
        <v>0.28399999999999997</v>
      </c>
      <c r="D77" s="3">
        <v>22</v>
      </c>
      <c r="E77" s="3">
        <v>89</v>
      </c>
      <c r="F77" s="3">
        <v>0.33</v>
      </c>
      <c r="G77" s="3">
        <v>0</v>
      </c>
      <c r="H77" s="3">
        <v>4</v>
      </c>
      <c r="I77" s="3">
        <v>696261.49</v>
      </c>
      <c r="J77">
        <f t="shared" si="2"/>
        <v>747818.99070000008</v>
      </c>
      <c r="K77">
        <f t="shared" si="3"/>
        <v>-51557.500700000091</v>
      </c>
    </row>
    <row r="78" spans="1:11">
      <c r="A78" s="3">
        <v>68600.62</v>
      </c>
      <c r="B78" s="3">
        <v>3988</v>
      </c>
      <c r="C78" s="7">
        <v>0.124</v>
      </c>
      <c r="D78" s="3">
        <v>11</v>
      </c>
      <c r="E78" s="3">
        <v>85</v>
      </c>
      <c r="F78" s="3">
        <v>0.48</v>
      </c>
      <c r="G78" s="3">
        <v>0</v>
      </c>
      <c r="H78" s="3">
        <v>3.6</v>
      </c>
      <c r="I78" s="3">
        <v>511844.41</v>
      </c>
      <c r="J78">
        <f t="shared" si="2"/>
        <v>602856.30899999989</v>
      </c>
      <c r="K78">
        <f t="shared" si="3"/>
        <v>-91011.898999999918</v>
      </c>
    </row>
    <row r="79" spans="1:11">
      <c r="A79" s="3">
        <v>68491.11</v>
      </c>
      <c r="B79" s="3">
        <v>11154</v>
      </c>
      <c r="C79" s="7">
        <v>1E-3</v>
      </c>
      <c r="D79" s="3">
        <v>24</v>
      </c>
      <c r="E79" s="3">
        <v>89.4</v>
      </c>
      <c r="F79" s="3">
        <v>5.27</v>
      </c>
      <c r="G79" s="3">
        <v>1</v>
      </c>
      <c r="H79" s="3">
        <v>3.9</v>
      </c>
      <c r="I79" s="3">
        <v>855341.28</v>
      </c>
      <c r="J79">
        <f t="shared" si="2"/>
        <v>866434.25064999983</v>
      </c>
      <c r="K79">
        <f t="shared" si="3"/>
        <v>-11092.970649999799</v>
      </c>
    </row>
    <row r="80" spans="1:11">
      <c r="A80" s="3">
        <v>68410.929999999993</v>
      </c>
      <c r="B80" s="3">
        <v>10596</v>
      </c>
      <c r="C80" s="7">
        <v>0.20699999999999999</v>
      </c>
      <c r="D80" s="3">
        <v>25</v>
      </c>
      <c r="E80" s="3">
        <v>81.2</v>
      </c>
      <c r="F80" s="3">
        <v>0.21</v>
      </c>
      <c r="G80" s="3">
        <v>0</v>
      </c>
      <c r="H80" s="3">
        <v>4</v>
      </c>
      <c r="I80" s="3">
        <v>801830.35</v>
      </c>
      <c r="J80">
        <f t="shared" si="2"/>
        <v>817280.73955000006</v>
      </c>
      <c r="K80">
        <f t="shared" si="3"/>
        <v>-15450.38955000008</v>
      </c>
    </row>
    <row r="81" spans="1:11">
      <c r="A81" s="3">
        <v>68212.289999999994</v>
      </c>
      <c r="B81" s="3">
        <v>4713</v>
      </c>
      <c r="C81" s="7">
        <v>0.19800000000000001</v>
      </c>
      <c r="D81" s="3">
        <v>15</v>
      </c>
      <c r="E81" s="3">
        <v>82.6</v>
      </c>
      <c r="F81" s="3">
        <v>4.07</v>
      </c>
      <c r="G81" s="3">
        <v>1</v>
      </c>
      <c r="H81" s="3">
        <v>3</v>
      </c>
      <c r="I81" s="3">
        <v>641564.6</v>
      </c>
      <c r="J81">
        <f t="shared" si="2"/>
        <v>618380.48860000004</v>
      </c>
      <c r="K81">
        <f t="shared" si="3"/>
        <v>23184.111399999936</v>
      </c>
    </row>
    <row r="82" spans="1:11">
      <c r="A82" s="3">
        <v>68148.52</v>
      </c>
      <c r="B82" s="3">
        <v>8567</v>
      </c>
      <c r="C82" s="7">
        <v>0.127</v>
      </c>
      <c r="D82" s="3">
        <v>23</v>
      </c>
      <c r="E82" s="3">
        <v>95.6</v>
      </c>
      <c r="F82" s="3">
        <v>0.8</v>
      </c>
      <c r="G82" s="3">
        <v>0</v>
      </c>
      <c r="H82" s="3">
        <v>3.9</v>
      </c>
      <c r="I82" s="3">
        <v>850164.26</v>
      </c>
      <c r="J82">
        <f t="shared" si="2"/>
        <v>800149.57864999992</v>
      </c>
      <c r="K82">
        <f t="shared" si="3"/>
        <v>50014.681350000086</v>
      </c>
    </row>
    <row r="83" spans="1:11">
      <c r="A83" s="3">
        <v>68133.440000000002</v>
      </c>
      <c r="B83" s="3">
        <v>9459</v>
      </c>
      <c r="C83" s="7">
        <v>0.22</v>
      </c>
      <c r="D83" s="3">
        <v>21</v>
      </c>
      <c r="E83" s="3">
        <v>85</v>
      </c>
      <c r="F83" s="3">
        <v>1.91</v>
      </c>
      <c r="G83" s="3">
        <v>0</v>
      </c>
      <c r="H83" s="3">
        <v>4.2</v>
      </c>
      <c r="I83" s="3">
        <v>779010.94</v>
      </c>
      <c r="J83">
        <f t="shared" si="2"/>
        <v>780709.05529999989</v>
      </c>
      <c r="K83">
        <f t="shared" si="3"/>
        <v>-1698.1152999999467</v>
      </c>
    </row>
    <row r="84" spans="1:11">
      <c r="A84" s="3">
        <v>68077.539999999994</v>
      </c>
      <c r="B84" s="3">
        <v>3360</v>
      </c>
      <c r="C84" s="7">
        <v>0.128</v>
      </c>
      <c r="D84" s="3">
        <v>14</v>
      </c>
      <c r="E84" s="3">
        <v>88.2</v>
      </c>
      <c r="F84" s="3">
        <v>1.24</v>
      </c>
      <c r="G84" s="3">
        <v>1</v>
      </c>
      <c r="H84" s="3">
        <v>4</v>
      </c>
      <c r="I84" s="3">
        <v>657429.18000000005</v>
      </c>
      <c r="J84">
        <f t="shared" si="2"/>
        <v>617711.94680000003</v>
      </c>
      <c r="K84">
        <f t="shared" si="3"/>
        <v>39717.233200000017</v>
      </c>
    </row>
    <row r="85" spans="1:11">
      <c r="A85" s="3">
        <v>68040.149999999994</v>
      </c>
      <c r="B85" s="3">
        <v>9826</v>
      </c>
      <c r="C85" s="7">
        <v>0.125</v>
      </c>
      <c r="D85" s="3">
        <v>20</v>
      </c>
      <c r="E85" s="3">
        <v>83.9</v>
      </c>
      <c r="F85" s="3">
        <v>9.1199999999999992</v>
      </c>
      <c r="G85" s="3">
        <v>0</v>
      </c>
      <c r="H85" s="3">
        <v>3.6</v>
      </c>
      <c r="I85" s="3">
        <v>758138.29</v>
      </c>
      <c r="J85">
        <f t="shared" si="2"/>
        <v>764356.16394999996</v>
      </c>
      <c r="K85">
        <f t="shared" si="3"/>
        <v>-6217.873949999921</v>
      </c>
    </row>
    <row r="86" spans="1:11">
      <c r="A86" s="3">
        <v>67979.88</v>
      </c>
      <c r="B86" s="3">
        <v>11230</v>
      </c>
      <c r="C86" s="7">
        <v>2E-3</v>
      </c>
      <c r="D86" s="3">
        <v>28</v>
      </c>
      <c r="E86" s="3">
        <v>85.3</v>
      </c>
      <c r="F86" s="3">
        <v>7.16</v>
      </c>
      <c r="G86" s="3">
        <v>0</v>
      </c>
      <c r="H86" s="3">
        <v>3.8</v>
      </c>
      <c r="I86" s="3">
        <v>910791.94</v>
      </c>
      <c r="J86">
        <f t="shared" si="2"/>
        <v>848377.32030000002</v>
      </c>
      <c r="K86">
        <f t="shared" si="3"/>
        <v>62414.619699999923</v>
      </c>
    </row>
    <row r="87" spans="1:11">
      <c r="A87" s="3">
        <v>67722.289999999994</v>
      </c>
      <c r="B87" s="3">
        <v>7240</v>
      </c>
      <c r="C87" s="7">
        <v>2.5999999999999999E-2</v>
      </c>
      <c r="D87" s="3">
        <v>15</v>
      </c>
      <c r="E87" s="3">
        <v>92.9</v>
      </c>
      <c r="F87" s="3">
        <v>0.28999999999999998</v>
      </c>
      <c r="G87" s="3">
        <v>0</v>
      </c>
      <c r="H87" s="4">
        <v>3.5</v>
      </c>
      <c r="I87" s="3">
        <v>762328.31</v>
      </c>
      <c r="J87">
        <f t="shared" si="2"/>
        <v>734980.66200000013</v>
      </c>
      <c r="K87">
        <f t="shared" si="3"/>
        <v>27347.647999999928</v>
      </c>
    </row>
    <row r="88" spans="1:11">
      <c r="A88" s="3">
        <v>67494.09</v>
      </c>
      <c r="B88" s="3">
        <v>12361</v>
      </c>
      <c r="C88" s="7">
        <v>4.5999999999999999E-2</v>
      </c>
      <c r="D88" s="3">
        <v>24</v>
      </c>
      <c r="E88" s="3">
        <v>76.599999999999994</v>
      </c>
      <c r="F88" s="3">
        <v>3.65</v>
      </c>
      <c r="G88" s="3">
        <v>1</v>
      </c>
      <c r="H88" s="3">
        <v>3.7</v>
      </c>
      <c r="I88" s="3">
        <v>887537.75</v>
      </c>
      <c r="J88">
        <f t="shared" si="2"/>
        <v>860191.69259999995</v>
      </c>
      <c r="K88">
        <f t="shared" si="3"/>
        <v>27346.057400000049</v>
      </c>
    </row>
    <row r="89" spans="1:11">
      <c r="A89" s="3">
        <v>67439.3</v>
      </c>
      <c r="B89" s="3">
        <v>6477</v>
      </c>
      <c r="C89" s="7">
        <v>0</v>
      </c>
      <c r="D89" s="3">
        <v>16</v>
      </c>
      <c r="E89" s="3">
        <v>90.9</v>
      </c>
      <c r="F89" s="3">
        <v>1.64</v>
      </c>
      <c r="G89" s="3">
        <v>0</v>
      </c>
      <c r="H89" s="3">
        <v>4.5</v>
      </c>
      <c r="I89" s="3">
        <v>753473.55</v>
      </c>
      <c r="J89">
        <f t="shared" si="2"/>
        <v>718759.92540000007</v>
      </c>
      <c r="K89">
        <f t="shared" si="3"/>
        <v>34713.624599999981</v>
      </c>
    </row>
    <row r="90" spans="1:11">
      <c r="A90" s="3">
        <v>66962.740000000005</v>
      </c>
      <c r="B90" s="3">
        <v>7880</v>
      </c>
      <c r="C90" s="7">
        <v>0.11600000000000001</v>
      </c>
      <c r="D90" s="3">
        <v>19</v>
      </c>
      <c r="E90" s="3">
        <v>90.4</v>
      </c>
      <c r="F90" s="3">
        <v>4.5</v>
      </c>
      <c r="G90" s="3">
        <v>0</v>
      </c>
      <c r="H90" s="3">
        <v>3.3</v>
      </c>
      <c r="I90" s="3">
        <v>732667.92</v>
      </c>
      <c r="J90">
        <f t="shared" si="2"/>
        <v>735841.76860000007</v>
      </c>
      <c r="K90">
        <f t="shared" si="3"/>
        <v>-3173.8486000000266</v>
      </c>
    </row>
    <row r="91" spans="1:11">
      <c r="A91" s="3">
        <v>66870.62</v>
      </c>
      <c r="B91" s="3">
        <v>6055</v>
      </c>
      <c r="C91" s="7">
        <v>7.4999999999999997E-2</v>
      </c>
      <c r="D91" s="3">
        <v>19</v>
      </c>
      <c r="E91" s="3">
        <v>93.8</v>
      </c>
      <c r="F91" s="3">
        <v>0.54</v>
      </c>
      <c r="G91" s="3">
        <v>0</v>
      </c>
      <c r="H91" s="3">
        <v>4.3</v>
      </c>
      <c r="I91" s="3">
        <v>692008.64</v>
      </c>
      <c r="J91">
        <f t="shared" si="2"/>
        <v>719622.71825000015</v>
      </c>
      <c r="K91">
        <f t="shared" si="3"/>
        <v>-27614.078250000137</v>
      </c>
    </row>
    <row r="92" spans="1:11">
      <c r="A92" s="3">
        <v>66456.28</v>
      </c>
      <c r="B92" s="3">
        <v>9967</v>
      </c>
      <c r="C92" s="7">
        <v>0.108</v>
      </c>
      <c r="D92" s="3">
        <v>20</v>
      </c>
      <c r="E92" s="3">
        <v>94.7</v>
      </c>
      <c r="F92" s="3">
        <v>4.4800000000000004</v>
      </c>
      <c r="G92" s="3">
        <v>0</v>
      </c>
      <c r="H92" s="3">
        <v>4.2</v>
      </c>
      <c r="I92" s="3">
        <v>844710.67</v>
      </c>
      <c r="J92">
        <f t="shared" si="2"/>
        <v>819536.56939999992</v>
      </c>
      <c r="K92">
        <f t="shared" si="3"/>
        <v>25174.100600000122</v>
      </c>
    </row>
    <row r="93" spans="1:11">
      <c r="A93" s="3">
        <v>66455.8</v>
      </c>
      <c r="B93" s="3">
        <v>10836</v>
      </c>
      <c r="C93" s="7">
        <v>8.8999999999999996E-2</v>
      </c>
      <c r="D93" s="3">
        <v>25</v>
      </c>
      <c r="E93" s="3">
        <v>85</v>
      </c>
      <c r="F93" s="3">
        <v>9.77</v>
      </c>
      <c r="G93" s="3">
        <v>0</v>
      </c>
      <c r="H93" s="3">
        <v>4.5</v>
      </c>
      <c r="I93" s="3">
        <v>811452.72</v>
      </c>
      <c r="J93">
        <f t="shared" si="2"/>
        <v>819179.78104999999</v>
      </c>
      <c r="K93">
        <f t="shared" si="3"/>
        <v>-7727.0610500000184</v>
      </c>
    </row>
    <row r="94" spans="1:11">
      <c r="A94" s="3">
        <v>66250.53</v>
      </c>
      <c r="B94" s="3">
        <v>10618</v>
      </c>
      <c r="C94" s="7">
        <v>0.14199999999999999</v>
      </c>
      <c r="D94" s="3">
        <v>27</v>
      </c>
      <c r="E94" s="3">
        <v>88.3</v>
      </c>
      <c r="F94" s="3">
        <v>1.1000000000000001</v>
      </c>
      <c r="G94" s="3">
        <v>1</v>
      </c>
      <c r="H94" s="3">
        <v>4.4000000000000004</v>
      </c>
      <c r="I94" s="3">
        <v>849018.3</v>
      </c>
      <c r="J94">
        <f t="shared" si="2"/>
        <v>861621.86170000001</v>
      </c>
      <c r="K94">
        <f t="shared" si="3"/>
        <v>-12603.561699999962</v>
      </c>
    </row>
    <row r="95" spans="1:11">
      <c r="A95" s="3">
        <v>66104.19</v>
      </c>
      <c r="B95" s="3">
        <v>5745</v>
      </c>
      <c r="C95" s="7">
        <v>7.0000000000000007E-2</v>
      </c>
      <c r="D95" s="3">
        <v>17</v>
      </c>
      <c r="E95" s="3">
        <v>95.8</v>
      </c>
      <c r="F95" s="3">
        <v>3.15</v>
      </c>
      <c r="G95" s="3">
        <v>0</v>
      </c>
      <c r="H95" s="3">
        <v>4</v>
      </c>
      <c r="I95" s="3">
        <v>714083.68</v>
      </c>
      <c r="J95">
        <f t="shared" si="2"/>
        <v>699699.43019999994</v>
      </c>
      <c r="K95">
        <f t="shared" si="3"/>
        <v>14384.249800000107</v>
      </c>
    </row>
    <row r="96" spans="1:11">
      <c r="A96" s="3">
        <v>65312.49</v>
      </c>
      <c r="B96" s="3">
        <v>7189</v>
      </c>
      <c r="C96" s="7">
        <v>0.05</v>
      </c>
      <c r="D96" s="3">
        <v>19</v>
      </c>
      <c r="E96" s="3">
        <v>93.7</v>
      </c>
      <c r="F96" s="3">
        <v>7.16</v>
      </c>
      <c r="G96" s="3">
        <v>0</v>
      </c>
      <c r="H96" s="3">
        <v>4.5999999999999996</v>
      </c>
      <c r="I96" s="3">
        <v>773815.14</v>
      </c>
      <c r="J96">
        <f t="shared" si="2"/>
        <v>735071.59129999997</v>
      </c>
      <c r="K96">
        <f t="shared" si="3"/>
        <v>38743.548700000043</v>
      </c>
    </row>
    <row r="97" spans="1:11">
      <c r="A97" s="3">
        <v>65272.58</v>
      </c>
      <c r="B97" s="3">
        <v>8165</v>
      </c>
      <c r="C97" s="7">
        <v>5.0999999999999997E-2</v>
      </c>
      <c r="D97" s="3">
        <v>19</v>
      </c>
      <c r="E97" s="3">
        <v>87.8</v>
      </c>
      <c r="F97" s="3">
        <v>1.26</v>
      </c>
      <c r="G97" s="3">
        <v>1</v>
      </c>
      <c r="H97" s="3">
        <v>4.3</v>
      </c>
      <c r="I97" s="3">
        <v>840108.12</v>
      </c>
      <c r="J97">
        <f t="shared" si="2"/>
        <v>771334.73664999998</v>
      </c>
      <c r="K97">
        <f t="shared" si="3"/>
        <v>68773.383350000018</v>
      </c>
    </row>
    <row r="98" spans="1:11">
      <c r="A98" s="3">
        <v>65237.79</v>
      </c>
      <c r="B98" s="3">
        <v>8741</v>
      </c>
      <c r="C98" s="7">
        <v>0.157</v>
      </c>
      <c r="D98" s="3">
        <v>20</v>
      </c>
      <c r="E98" s="3">
        <v>94.4</v>
      </c>
      <c r="F98" s="3">
        <v>6.43</v>
      </c>
      <c r="G98" s="3">
        <v>0</v>
      </c>
      <c r="H98" s="3">
        <v>3.3</v>
      </c>
      <c r="I98" s="3">
        <v>780344.18</v>
      </c>
      <c r="J98">
        <f t="shared" si="2"/>
        <v>764327.74205000012</v>
      </c>
      <c r="K98">
        <f t="shared" si="3"/>
        <v>16016.437949999934</v>
      </c>
    </row>
    <row r="99" spans="1:11">
      <c r="A99" s="3">
        <v>65012.19</v>
      </c>
      <c r="B99" s="3">
        <v>9598</v>
      </c>
      <c r="C99" s="7">
        <v>8.5000000000000006E-2</v>
      </c>
      <c r="D99" s="3">
        <v>24</v>
      </c>
      <c r="E99" s="3">
        <v>98.3</v>
      </c>
      <c r="F99" s="3">
        <v>0.89</v>
      </c>
      <c r="G99" s="3">
        <v>0</v>
      </c>
      <c r="H99" s="3">
        <v>3.8</v>
      </c>
      <c r="I99" s="3">
        <v>828623.85</v>
      </c>
      <c r="J99">
        <f t="shared" si="2"/>
        <v>838082.45085000002</v>
      </c>
      <c r="K99">
        <f t="shared" si="3"/>
        <v>-9458.6008500000462</v>
      </c>
    </row>
    <row r="100" spans="1:11">
      <c r="A100" s="3">
        <v>64882.14</v>
      </c>
      <c r="B100" s="3">
        <v>3642</v>
      </c>
      <c r="C100" s="7">
        <v>1.9E-2</v>
      </c>
      <c r="D100" s="3">
        <v>13</v>
      </c>
      <c r="E100" s="3">
        <v>87.8</v>
      </c>
      <c r="F100" s="4">
        <v>4.5199999999999996</v>
      </c>
      <c r="G100" s="3">
        <v>0</v>
      </c>
      <c r="H100" s="3">
        <v>4.2</v>
      </c>
      <c r="I100" s="3">
        <v>605178</v>
      </c>
      <c r="J100">
        <f t="shared" si="2"/>
        <v>605323.11024999991</v>
      </c>
      <c r="K100">
        <f t="shared" si="3"/>
        <v>-145.11024999991059</v>
      </c>
    </row>
    <row r="101" spans="1:11">
      <c r="A101" s="3">
        <v>64811.21</v>
      </c>
      <c r="B101" s="3">
        <v>9792</v>
      </c>
      <c r="C101" s="7">
        <v>0.112</v>
      </c>
      <c r="D101" s="3">
        <v>20</v>
      </c>
      <c r="E101" s="3">
        <v>84.2</v>
      </c>
      <c r="F101" s="3">
        <v>2.88</v>
      </c>
      <c r="G101" s="3">
        <v>0</v>
      </c>
      <c r="H101" s="3">
        <v>4.2</v>
      </c>
      <c r="I101" s="3">
        <v>761835.34</v>
      </c>
      <c r="J101">
        <f t="shared" si="2"/>
        <v>785693.68339999998</v>
      </c>
      <c r="K101">
        <f t="shared" si="3"/>
        <v>-23858.343400000012</v>
      </c>
    </row>
    <row r="102" spans="1:11">
      <c r="A102" s="3">
        <v>64374.75</v>
      </c>
      <c r="B102" s="3">
        <v>6740</v>
      </c>
      <c r="C102" s="7">
        <v>0.16900000000000001</v>
      </c>
      <c r="D102" s="3">
        <v>18</v>
      </c>
      <c r="E102" s="3">
        <v>87</v>
      </c>
      <c r="F102" s="3">
        <v>2.09</v>
      </c>
      <c r="G102" s="3">
        <v>0</v>
      </c>
      <c r="H102" s="3">
        <v>4.2</v>
      </c>
      <c r="I102" s="3">
        <v>698492.67</v>
      </c>
      <c r="J102">
        <f t="shared" si="2"/>
        <v>700278.71824999992</v>
      </c>
      <c r="K102">
        <f t="shared" si="3"/>
        <v>-1786.0482499998761</v>
      </c>
    </row>
    <row r="103" spans="1:11">
      <c r="A103" s="3">
        <v>64294.23</v>
      </c>
      <c r="B103" s="3">
        <v>6992</v>
      </c>
      <c r="C103" s="7">
        <v>0.13300000000000001</v>
      </c>
      <c r="D103" s="3">
        <v>14</v>
      </c>
      <c r="E103" s="3">
        <v>94.1</v>
      </c>
      <c r="F103" s="3">
        <v>0.25</v>
      </c>
      <c r="G103" s="3">
        <v>0</v>
      </c>
      <c r="H103" s="3">
        <v>3</v>
      </c>
      <c r="I103" s="3">
        <v>795153.84</v>
      </c>
      <c r="J103">
        <f t="shared" si="2"/>
        <v>711759.43085</v>
      </c>
      <c r="K103">
        <f t="shared" si="3"/>
        <v>83394.409149999963</v>
      </c>
    </row>
    <row r="104" spans="1:11">
      <c r="A104" s="3">
        <v>64104.28</v>
      </c>
      <c r="B104" s="3">
        <v>6015</v>
      </c>
      <c r="C104" s="7">
        <v>0.127</v>
      </c>
      <c r="D104" s="3">
        <v>15</v>
      </c>
      <c r="E104" s="3">
        <v>88.7</v>
      </c>
      <c r="F104" s="3">
        <v>0.78</v>
      </c>
      <c r="G104" s="3">
        <v>0</v>
      </c>
      <c r="H104" s="3">
        <v>4</v>
      </c>
      <c r="I104" s="3">
        <v>650795.49</v>
      </c>
      <c r="J104">
        <f t="shared" si="2"/>
        <v>680439.34025000001</v>
      </c>
      <c r="K104">
        <f t="shared" si="3"/>
        <v>-29643.850250000018</v>
      </c>
    </row>
    <row r="105" spans="1:11">
      <c r="A105" s="3">
        <v>63986.98</v>
      </c>
      <c r="B105" s="3">
        <v>7989</v>
      </c>
      <c r="C105" s="7">
        <v>7.3999999999999996E-2</v>
      </c>
      <c r="D105" s="3">
        <v>20</v>
      </c>
      <c r="E105" s="3">
        <v>83.3</v>
      </c>
      <c r="F105" s="3">
        <v>3.6</v>
      </c>
      <c r="G105" s="3">
        <v>0</v>
      </c>
      <c r="H105" s="3">
        <v>3.7</v>
      </c>
      <c r="I105" s="3">
        <v>724346.73</v>
      </c>
      <c r="J105">
        <f t="shared" si="2"/>
        <v>726999.49649999989</v>
      </c>
      <c r="K105">
        <f t="shared" si="3"/>
        <v>-2652.7664999999106</v>
      </c>
    </row>
    <row r="106" spans="1:11">
      <c r="A106" s="3">
        <v>63630.21</v>
      </c>
      <c r="B106" s="3">
        <v>4460</v>
      </c>
      <c r="C106" s="7">
        <v>0.23499999999999999</v>
      </c>
      <c r="D106" s="3">
        <v>14</v>
      </c>
      <c r="E106" s="3">
        <v>98.6</v>
      </c>
      <c r="F106" s="3">
        <v>5.52</v>
      </c>
      <c r="G106" s="3">
        <v>0</v>
      </c>
      <c r="H106" s="3">
        <v>3.5</v>
      </c>
      <c r="I106" s="3">
        <v>599603.4</v>
      </c>
      <c r="J106">
        <f t="shared" si="2"/>
        <v>636223.30024999997</v>
      </c>
      <c r="K106">
        <f t="shared" si="3"/>
        <v>-36619.900249999948</v>
      </c>
    </row>
    <row r="107" spans="1:11">
      <c r="A107" s="3">
        <v>63582.11</v>
      </c>
      <c r="B107" s="3">
        <v>6856</v>
      </c>
      <c r="C107" s="7">
        <v>7.3999999999999996E-2</v>
      </c>
      <c r="D107" s="3">
        <v>17</v>
      </c>
      <c r="E107" s="3">
        <v>89.5</v>
      </c>
      <c r="F107" s="3">
        <v>5.48</v>
      </c>
      <c r="G107" s="3">
        <v>0</v>
      </c>
      <c r="H107" s="3">
        <v>3.2</v>
      </c>
      <c r="I107" s="3">
        <v>799046.94</v>
      </c>
      <c r="J107">
        <f t="shared" si="2"/>
        <v>693650.18570000003</v>
      </c>
      <c r="K107">
        <f t="shared" si="3"/>
        <v>105396.75429999991</v>
      </c>
    </row>
    <row r="108" spans="1:11">
      <c r="A108" s="3">
        <v>63457.19</v>
      </c>
      <c r="B108" s="3">
        <v>10125</v>
      </c>
      <c r="C108" s="7">
        <v>9.7000000000000003E-2</v>
      </c>
      <c r="D108" s="3">
        <v>24</v>
      </c>
      <c r="E108" s="3">
        <v>87</v>
      </c>
      <c r="F108" s="3">
        <v>3.84</v>
      </c>
      <c r="G108" s="3">
        <v>1</v>
      </c>
      <c r="H108" s="3">
        <v>3.7</v>
      </c>
      <c r="I108" s="3">
        <v>810446.53</v>
      </c>
      <c r="J108">
        <f t="shared" si="2"/>
        <v>819656.10314999986</v>
      </c>
      <c r="K108">
        <f t="shared" si="3"/>
        <v>-9209.5731499998365</v>
      </c>
    </row>
    <row r="109" spans="1:11">
      <c r="A109" s="3">
        <v>63176.73</v>
      </c>
      <c r="B109" s="3">
        <v>2390</v>
      </c>
      <c r="C109" s="7">
        <v>0.216</v>
      </c>
      <c r="D109" s="3">
        <v>9</v>
      </c>
      <c r="E109" s="3">
        <v>87.5</v>
      </c>
      <c r="F109" s="3">
        <v>0.31</v>
      </c>
      <c r="G109" s="3">
        <v>0</v>
      </c>
      <c r="H109" s="3">
        <v>3.1</v>
      </c>
      <c r="I109" s="3">
        <v>537383.79</v>
      </c>
      <c r="J109">
        <f t="shared" si="2"/>
        <v>541823.80790000013</v>
      </c>
      <c r="K109">
        <f t="shared" si="3"/>
        <v>-4440.0179000000935</v>
      </c>
    </row>
    <row r="110" spans="1:11">
      <c r="A110" s="3">
        <v>63101.59</v>
      </c>
      <c r="B110" s="3">
        <v>4373</v>
      </c>
      <c r="C110" s="7">
        <v>0.17299999999999999</v>
      </c>
      <c r="D110" s="3">
        <v>14</v>
      </c>
      <c r="E110" s="3">
        <v>90.4</v>
      </c>
      <c r="F110" s="3">
        <v>7.87</v>
      </c>
      <c r="G110" s="3">
        <v>0</v>
      </c>
      <c r="H110" s="3">
        <v>4.7</v>
      </c>
      <c r="I110" s="3">
        <v>586626.93999999994</v>
      </c>
      <c r="J110">
        <f t="shared" si="2"/>
        <v>618929.63284999994</v>
      </c>
      <c r="K110">
        <f t="shared" si="3"/>
        <v>-32302.692849999992</v>
      </c>
    </row>
    <row r="111" spans="1:11">
      <c r="A111" s="3">
        <v>63043.94</v>
      </c>
      <c r="B111" s="3">
        <v>10402</v>
      </c>
      <c r="C111" s="7">
        <v>0.159</v>
      </c>
      <c r="D111" s="3">
        <v>23</v>
      </c>
      <c r="E111" s="3">
        <v>93.9</v>
      </c>
      <c r="F111" s="3">
        <v>2.71</v>
      </c>
      <c r="G111" s="3">
        <v>0</v>
      </c>
      <c r="H111" s="3">
        <v>3.1</v>
      </c>
      <c r="I111" s="3">
        <v>804264</v>
      </c>
      <c r="J111">
        <f t="shared" si="2"/>
        <v>824239.53214999987</v>
      </c>
      <c r="K111">
        <f t="shared" si="3"/>
        <v>-19975.532149999868</v>
      </c>
    </row>
    <row r="112" spans="1:11">
      <c r="A112" s="3">
        <v>63010.23</v>
      </c>
      <c r="B112" s="3">
        <v>9812</v>
      </c>
      <c r="C112" s="7">
        <v>0.113</v>
      </c>
      <c r="D112" s="3">
        <v>24</v>
      </c>
      <c r="E112" s="3">
        <v>76.8</v>
      </c>
      <c r="F112" s="3">
        <v>1.02</v>
      </c>
      <c r="G112" s="3">
        <v>1</v>
      </c>
      <c r="H112" s="3">
        <v>3.8</v>
      </c>
      <c r="I112" s="3">
        <v>761077.08</v>
      </c>
      <c r="J112">
        <f t="shared" si="2"/>
        <v>787959.89355000004</v>
      </c>
      <c r="K112">
        <f t="shared" si="3"/>
        <v>-26882.813550000079</v>
      </c>
    </row>
    <row r="113" spans="1:11">
      <c r="A113" s="3">
        <v>62949.7</v>
      </c>
      <c r="B113" s="3">
        <v>9458</v>
      </c>
      <c r="C113" s="7">
        <v>0.17100000000000001</v>
      </c>
      <c r="D113" s="3">
        <v>19</v>
      </c>
      <c r="E113" s="3">
        <v>84.9</v>
      </c>
      <c r="F113" s="3">
        <v>5.09</v>
      </c>
      <c r="G113" s="3">
        <v>0</v>
      </c>
      <c r="H113" s="3">
        <v>3.3</v>
      </c>
      <c r="I113" s="3">
        <v>691288.19</v>
      </c>
      <c r="J113">
        <f t="shared" si="2"/>
        <v>753204.74855000002</v>
      </c>
      <c r="K113">
        <f t="shared" si="3"/>
        <v>-61916.558550000074</v>
      </c>
    </row>
    <row r="114" spans="1:11">
      <c r="A114" s="3">
        <v>62582.71</v>
      </c>
      <c r="B114" s="3">
        <v>5479</v>
      </c>
      <c r="C114" s="7">
        <v>4.8000000000000001E-2</v>
      </c>
      <c r="D114" s="3">
        <v>16</v>
      </c>
      <c r="E114" s="3">
        <v>81.2</v>
      </c>
      <c r="F114" s="3">
        <v>1.46</v>
      </c>
      <c r="G114" s="3">
        <v>0</v>
      </c>
      <c r="H114" s="3">
        <v>4.5</v>
      </c>
      <c r="I114" s="3">
        <v>640666.53</v>
      </c>
      <c r="J114">
        <f t="shared" si="2"/>
        <v>653217.61659999995</v>
      </c>
      <c r="K114">
        <f t="shared" si="3"/>
        <v>-12551.086599999922</v>
      </c>
    </row>
    <row r="115" spans="1:11">
      <c r="A115" s="3">
        <v>62507.16</v>
      </c>
      <c r="B115" s="3">
        <v>6000</v>
      </c>
      <c r="C115" s="7">
        <v>9.0999999999999998E-2</v>
      </c>
      <c r="D115" s="3">
        <v>14</v>
      </c>
      <c r="E115" s="3">
        <v>98.2</v>
      </c>
      <c r="F115" s="3">
        <v>4.38</v>
      </c>
      <c r="G115" s="3">
        <v>1</v>
      </c>
      <c r="H115" s="3">
        <v>3.9</v>
      </c>
      <c r="I115" s="3">
        <v>712375.77</v>
      </c>
      <c r="J115">
        <f t="shared" si="2"/>
        <v>707431.95024999999</v>
      </c>
      <c r="K115">
        <f t="shared" si="3"/>
        <v>4943.8197500000242</v>
      </c>
    </row>
    <row r="116" spans="1:11">
      <c r="A116" s="3">
        <v>62060.43</v>
      </c>
      <c r="B116" s="3">
        <v>2613</v>
      </c>
      <c r="C116" s="7">
        <v>0.216</v>
      </c>
      <c r="D116" s="3">
        <v>12</v>
      </c>
      <c r="E116" s="3">
        <v>92.1</v>
      </c>
      <c r="F116" s="3">
        <v>1.55</v>
      </c>
      <c r="G116" s="3">
        <v>0</v>
      </c>
      <c r="H116" s="3">
        <v>4.7</v>
      </c>
      <c r="I116" s="3">
        <v>565810.99</v>
      </c>
      <c r="J116">
        <f t="shared" si="2"/>
        <v>582636.79829999991</v>
      </c>
      <c r="K116">
        <f t="shared" si="3"/>
        <v>-16825.808299999917</v>
      </c>
    </row>
    <row r="117" spans="1:11">
      <c r="A117" s="3">
        <v>62059.18</v>
      </c>
      <c r="B117" s="3">
        <v>9374</v>
      </c>
      <c r="C117" s="7">
        <v>0.13600000000000001</v>
      </c>
      <c r="D117" s="3">
        <v>25</v>
      </c>
      <c r="E117" s="3">
        <v>87.1</v>
      </c>
      <c r="F117" s="3">
        <v>12.55</v>
      </c>
      <c r="G117" s="3">
        <v>0</v>
      </c>
      <c r="H117" s="3">
        <v>4.9000000000000004</v>
      </c>
      <c r="I117" s="3">
        <v>739831.73</v>
      </c>
      <c r="J117">
        <f t="shared" si="2"/>
        <v>772120.0233</v>
      </c>
      <c r="K117">
        <f t="shared" si="3"/>
        <v>-32288.293300000019</v>
      </c>
    </row>
    <row r="118" spans="1:11">
      <c r="A118" s="3">
        <v>61995.3</v>
      </c>
      <c r="B118" s="3">
        <v>10192</v>
      </c>
      <c r="C118" s="7">
        <v>0.19800000000000001</v>
      </c>
      <c r="D118" s="3">
        <v>21</v>
      </c>
      <c r="E118" s="3">
        <v>87.6</v>
      </c>
      <c r="F118" s="3">
        <v>3.63</v>
      </c>
      <c r="G118" s="3">
        <v>1</v>
      </c>
      <c r="H118" s="3">
        <v>3.8</v>
      </c>
      <c r="I118" s="3">
        <v>799756.46</v>
      </c>
      <c r="J118">
        <f t="shared" si="2"/>
        <v>806971.72599999991</v>
      </c>
      <c r="K118">
        <f t="shared" si="3"/>
        <v>-7215.2659999999451</v>
      </c>
    </row>
    <row r="119" spans="1:11">
      <c r="A119" s="3">
        <v>61784.11</v>
      </c>
      <c r="B119" s="3">
        <v>8564</v>
      </c>
      <c r="C119" s="7">
        <v>0.13</v>
      </c>
      <c r="D119" s="3">
        <v>17</v>
      </c>
      <c r="E119" s="3">
        <v>87.4</v>
      </c>
      <c r="F119" s="3">
        <v>18.14</v>
      </c>
      <c r="G119" s="3">
        <v>1</v>
      </c>
      <c r="H119" s="3">
        <v>3.4</v>
      </c>
      <c r="I119" s="3">
        <v>673076.34</v>
      </c>
      <c r="J119">
        <f t="shared" si="2"/>
        <v>707413.31469999999</v>
      </c>
      <c r="K119">
        <f t="shared" si="3"/>
        <v>-34336.974700000021</v>
      </c>
    </row>
    <row r="120" spans="1:11">
      <c r="A120" s="3">
        <v>61650.79</v>
      </c>
      <c r="B120" s="3">
        <v>5321</v>
      </c>
      <c r="C120" s="7">
        <v>0.126</v>
      </c>
      <c r="D120" s="3">
        <v>17</v>
      </c>
      <c r="E120" s="3">
        <v>89.2</v>
      </c>
      <c r="F120" s="3">
        <v>2.13</v>
      </c>
      <c r="G120" s="3">
        <v>0</v>
      </c>
      <c r="H120" s="3">
        <v>4</v>
      </c>
      <c r="I120" s="3">
        <v>723305.11</v>
      </c>
      <c r="J120">
        <f t="shared" si="2"/>
        <v>661795.59239999996</v>
      </c>
      <c r="K120">
        <f t="shared" si="3"/>
        <v>61509.517600000021</v>
      </c>
    </row>
    <row r="121" spans="1:11">
      <c r="A121" s="3">
        <v>61541.21</v>
      </c>
      <c r="B121" s="3">
        <v>10396</v>
      </c>
      <c r="C121" s="7">
        <v>0.123</v>
      </c>
      <c r="D121" s="3">
        <v>25</v>
      </c>
      <c r="E121" s="3">
        <v>88.1</v>
      </c>
      <c r="F121" s="3">
        <v>2.34</v>
      </c>
      <c r="G121" s="3">
        <v>1</v>
      </c>
      <c r="H121" s="3">
        <v>4.8</v>
      </c>
      <c r="I121" s="3">
        <v>914544.17</v>
      </c>
      <c r="J121">
        <f t="shared" si="2"/>
        <v>845222.51265000005</v>
      </c>
      <c r="K121">
        <f t="shared" si="3"/>
        <v>69321.657349999994</v>
      </c>
    </row>
    <row r="122" spans="1:11">
      <c r="A122" s="3">
        <v>61433.84</v>
      </c>
      <c r="B122" s="3">
        <v>7745</v>
      </c>
      <c r="C122" s="7">
        <v>0.18</v>
      </c>
      <c r="D122" s="3">
        <v>16</v>
      </c>
      <c r="E122" s="3">
        <v>90.5</v>
      </c>
      <c r="F122" s="3">
        <v>2.2599999999999998</v>
      </c>
      <c r="G122" s="3">
        <v>0</v>
      </c>
      <c r="H122" s="3">
        <v>4.2</v>
      </c>
      <c r="I122" s="3">
        <v>685830.24</v>
      </c>
      <c r="J122">
        <f t="shared" si="2"/>
        <v>728094.1547999999</v>
      </c>
      <c r="K122">
        <f t="shared" si="3"/>
        <v>-42263.914799999911</v>
      </c>
    </row>
    <row r="123" spans="1:11">
      <c r="A123" s="3">
        <v>61426.04</v>
      </c>
      <c r="B123" s="3">
        <v>8966</v>
      </c>
      <c r="C123" s="7">
        <v>0.17299999999999999</v>
      </c>
      <c r="D123" s="3">
        <v>22</v>
      </c>
      <c r="E123" s="3">
        <v>76.400000000000006</v>
      </c>
      <c r="F123" s="3">
        <v>1.05</v>
      </c>
      <c r="G123" s="3">
        <v>0</v>
      </c>
      <c r="H123" s="3">
        <v>3.1</v>
      </c>
      <c r="I123" s="3">
        <v>778397.97</v>
      </c>
      <c r="J123">
        <f t="shared" si="2"/>
        <v>730697.46565000003</v>
      </c>
      <c r="K123">
        <f t="shared" si="3"/>
        <v>47700.504349999945</v>
      </c>
    </row>
    <row r="124" spans="1:11">
      <c r="A124" s="3">
        <v>61391.8</v>
      </c>
      <c r="B124" s="3">
        <v>5575</v>
      </c>
      <c r="C124" s="7">
        <v>0.189</v>
      </c>
      <c r="D124" s="3">
        <v>18</v>
      </c>
      <c r="E124" s="3">
        <v>90</v>
      </c>
      <c r="F124" s="3">
        <v>1.8</v>
      </c>
      <c r="G124" s="3">
        <v>0</v>
      </c>
      <c r="H124" s="3">
        <v>4.8</v>
      </c>
      <c r="I124" s="3">
        <v>735786.64</v>
      </c>
      <c r="J124">
        <f t="shared" si="2"/>
        <v>678772.89535000001</v>
      </c>
      <c r="K124">
        <f t="shared" si="3"/>
        <v>57013.744650000008</v>
      </c>
    </row>
    <row r="125" spans="1:11">
      <c r="A125" s="3">
        <v>61245.41</v>
      </c>
      <c r="B125" s="3">
        <v>8156</v>
      </c>
      <c r="C125" s="7">
        <v>0.156</v>
      </c>
      <c r="D125" s="3">
        <v>19</v>
      </c>
      <c r="E125" s="3">
        <v>92.9</v>
      </c>
      <c r="F125" s="3">
        <v>9.0500000000000007</v>
      </c>
      <c r="G125" s="3">
        <v>0</v>
      </c>
      <c r="H125" s="3">
        <v>3.8</v>
      </c>
      <c r="I125" s="3">
        <v>718330.53</v>
      </c>
      <c r="J125">
        <f t="shared" si="2"/>
        <v>733508.74569999997</v>
      </c>
      <c r="K125">
        <f t="shared" si="3"/>
        <v>-15178.215699999942</v>
      </c>
    </row>
    <row r="126" spans="1:11">
      <c r="A126" s="3">
        <v>61132.07</v>
      </c>
      <c r="B126" s="3">
        <v>6394</v>
      </c>
      <c r="C126" s="7">
        <v>0.16300000000000001</v>
      </c>
      <c r="D126" s="3">
        <v>19</v>
      </c>
      <c r="E126" s="3">
        <v>91</v>
      </c>
      <c r="F126" s="3">
        <v>19.600000000000001</v>
      </c>
      <c r="G126" s="3">
        <v>0</v>
      </c>
      <c r="H126" s="3">
        <v>4.4000000000000004</v>
      </c>
      <c r="I126" s="3">
        <v>691113.62</v>
      </c>
      <c r="J126">
        <f t="shared" si="2"/>
        <v>653733.66605</v>
      </c>
      <c r="K126">
        <f t="shared" si="3"/>
        <v>37379.953949999996</v>
      </c>
    </row>
    <row r="127" spans="1:11">
      <c r="A127" s="3">
        <v>60881.01</v>
      </c>
      <c r="B127" s="3">
        <v>5410</v>
      </c>
      <c r="C127" s="7">
        <v>0.17899999999999999</v>
      </c>
      <c r="D127" s="3">
        <v>15</v>
      </c>
      <c r="E127" s="3">
        <v>83.9</v>
      </c>
      <c r="F127" s="3">
        <v>5.24</v>
      </c>
      <c r="G127" s="3">
        <v>0</v>
      </c>
      <c r="H127" s="3">
        <v>4.5999999999999996</v>
      </c>
      <c r="I127" s="3">
        <v>621369.57999999996</v>
      </c>
      <c r="J127">
        <f t="shared" si="2"/>
        <v>635050.23404999997</v>
      </c>
      <c r="K127">
        <f t="shared" si="3"/>
        <v>-13680.654050000012</v>
      </c>
    </row>
    <row r="128" spans="1:11">
      <c r="A128" s="3">
        <v>60684.05</v>
      </c>
      <c r="B128" s="3">
        <v>6399</v>
      </c>
      <c r="C128" s="7">
        <v>7.4999999999999997E-2</v>
      </c>
      <c r="D128" s="3">
        <v>16</v>
      </c>
      <c r="E128" s="3">
        <v>99</v>
      </c>
      <c r="F128" s="3">
        <v>3.82</v>
      </c>
      <c r="G128" s="3">
        <v>0</v>
      </c>
      <c r="H128" s="3">
        <v>3.5</v>
      </c>
      <c r="I128" s="3">
        <v>651164.18000000005</v>
      </c>
      <c r="J128">
        <f t="shared" si="2"/>
        <v>710634.19245000009</v>
      </c>
      <c r="K128">
        <f t="shared" si="3"/>
        <v>-59470.012450000038</v>
      </c>
    </row>
    <row r="129" spans="1:11">
      <c r="A129" s="3">
        <v>60628.38</v>
      </c>
      <c r="B129" s="3">
        <v>4451</v>
      </c>
      <c r="C129" s="7">
        <v>9.5000000000000001E-2</v>
      </c>
      <c r="D129" s="3">
        <v>10</v>
      </c>
      <c r="E129" s="3">
        <v>89.6</v>
      </c>
      <c r="F129" s="3">
        <v>3.17</v>
      </c>
      <c r="G129" s="3">
        <v>0</v>
      </c>
      <c r="H129" s="3">
        <v>4.5999999999999996</v>
      </c>
      <c r="I129" s="3">
        <v>682208.01</v>
      </c>
      <c r="J129">
        <f t="shared" si="2"/>
        <v>621916.83734999993</v>
      </c>
      <c r="K129">
        <f t="shared" si="3"/>
        <v>60291.17265000008</v>
      </c>
    </row>
    <row r="130" spans="1:11">
      <c r="A130" s="3">
        <v>60571.82</v>
      </c>
      <c r="B130" s="3">
        <v>3193</v>
      </c>
      <c r="C130" s="7">
        <v>0.19700000000000001</v>
      </c>
      <c r="D130" s="3">
        <v>7</v>
      </c>
      <c r="E130" s="3">
        <v>99</v>
      </c>
      <c r="F130" s="3">
        <v>1.43</v>
      </c>
      <c r="G130" s="3">
        <v>0</v>
      </c>
      <c r="H130" s="3">
        <v>3.2</v>
      </c>
      <c r="I130" s="3">
        <v>605023.87</v>
      </c>
      <c r="J130">
        <f t="shared" si="2"/>
        <v>588716.74045000016</v>
      </c>
      <c r="K130">
        <f t="shared" si="3"/>
        <v>16307.129549999838</v>
      </c>
    </row>
    <row r="131" spans="1:11">
      <c r="A131" s="3">
        <v>60322.400000000001</v>
      </c>
      <c r="B131" s="3">
        <v>3350</v>
      </c>
      <c r="C131" s="7">
        <v>0.108</v>
      </c>
      <c r="D131" s="3">
        <v>12</v>
      </c>
      <c r="E131" s="3">
        <v>89.4</v>
      </c>
      <c r="F131" s="3">
        <v>4.92</v>
      </c>
      <c r="G131" s="3">
        <v>0</v>
      </c>
      <c r="H131" s="3">
        <v>3.4</v>
      </c>
      <c r="I131" s="3">
        <v>570964.84</v>
      </c>
      <c r="J131">
        <f t="shared" ref="J131:J194" si="4">96294.24+(1.18*A131)+(27.99*B131)-(71956.85*C131)+(3002.85*D131)+(2983.78*E131)-(2883.79*F131)+(12790.85*G131)+(10456.51*H131)</f>
        <v>577617.85140000004</v>
      </c>
      <c r="K131">
        <f t="shared" ref="K131:K194" si="5">I131-J131</f>
        <v>-6653.0114000000758</v>
      </c>
    </row>
    <row r="132" spans="1:11">
      <c r="A132" s="3">
        <v>60183.06</v>
      </c>
      <c r="B132" s="3">
        <v>5562</v>
      </c>
      <c r="C132" s="7">
        <v>8.9999999999999993E-3</v>
      </c>
      <c r="D132" s="3">
        <v>13</v>
      </c>
      <c r="E132" s="3">
        <v>86.3</v>
      </c>
      <c r="F132" s="3">
        <v>0.2</v>
      </c>
      <c r="G132" s="3">
        <v>1</v>
      </c>
      <c r="H132" s="3">
        <v>4.5</v>
      </c>
      <c r="I132" s="3">
        <v>636775.66</v>
      </c>
      <c r="J132">
        <f t="shared" si="4"/>
        <v>678148.67015000002</v>
      </c>
      <c r="K132">
        <f t="shared" si="5"/>
        <v>-41373.010149999987</v>
      </c>
    </row>
    <row r="133" spans="1:11">
      <c r="A133" s="3">
        <v>59921.75</v>
      </c>
      <c r="B133" s="3">
        <v>9113</v>
      </c>
      <c r="C133" s="7">
        <v>0.13300000000000001</v>
      </c>
      <c r="D133" s="3">
        <v>20</v>
      </c>
      <c r="E133" s="3">
        <v>88</v>
      </c>
      <c r="F133" s="3">
        <v>12</v>
      </c>
      <c r="G133" s="3">
        <v>0</v>
      </c>
      <c r="H133" s="3">
        <v>3.2</v>
      </c>
      <c r="I133" s="3">
        <v>678722.06</v>
      </c>
      <c r="J133">
        <f t="shared" si="4"/>
        <v>733989.50595000014</v>
      </c>
      <c r="K133">
        <f t="shared" si="5"/>
        <v>-55267.445950000081</v>
      </c>
    </row>
    <row r="134" spans="1:11">
      <c r="A134" s="3">
        <v>59909.51</v>
      </c>
      <c r="B134" s="3">
        <v>8895</v>
      </c>
      <c r="C134" s="7">
        <v>0.22800000000000001</v>
      </c>
      <c r="D134" s="3">
        <v>23</v>
      </c>
      <c r="E134" s="3">
        <v>88.8</v>
      </c>
      <c r="F134" s="3">
        <v>0.27</v>
      </c>
      <c r="G134" s="3">
        <v>0</v>
      </c>
      <c r="H134" s="3">
        <v>4.3</v>
      </c>
      <c r="I134" s="3">
        <v>746501.09</v>
      </c>
      <c r="J134">
        <f t="shared" si="4"/>
        <v>777761.93370000005</v>
      </c>
      <c r="K134">
        <f t="shared" si="5"/>
        <v>-31260.843700000085</v>
      </c>
    </row>
    <row r="135" spans="1:11">
      <c r="A135" s="3">
        <v>59825.51</v>
      </c>
      <c r="B135" s="3">
        <v>1231</v>
      </c>
      <c r="C135" s="7">
        <v>0.214</v>
      </c>
      <c r="D135" s="3">
        <v>10</v>
      </c>
      <c r="E135" s="3">
        <v>84.8</v>
      </c>
      <c r="F135" s="3">
        <v>8.9600000000000009</v>
      </c>
      <c r="G135" s="3">
        <v>0</v>
      </c>
      <c r="H135" s="4">
        <v>4.7</v>
      </c>
      <c r="I135" s="3">
        <v>498970.32</v>
      </c>
      <c r="J135">
        <f t="shared" si="4"/>
        <v>492305.14850000001</v>
      </c>
      <c r="K135">
        <f t="shared" si="5"/>
        <v>6665.1714999999967</v>
      </c>
    </row>
    <row r="136" spans="1:11">
      <c r="A136" s="3">
        <v>59405.68</v>
      </c>
      <c r="B136" s="3">
        <v>2515</v>
      </c>
      <c r="C136" s="7">
        <v>3.9E-2</v>
      </c>
      <c r="D136" s="3">
        <v>12</v>
      </c>
      <c r="E136" s="3">
        <v>76</v>
      </c>
      <c r="F136" s="3">
        <v>5.1100000000000003</v>
      </c>
      <c r="G136" s="3">
        <v>0</v>
      </c>
      <c r="H136" s="3">
        <v>3.7</v>
      </c>
      <c r="I136" s="3">
        <v>500298.48</v>
      </c>
      <c r="J136">
        <f t="shared" si="4"/>
        <v>520735.87534999999</v>
      </c>
      <c r="K136">
        <f t="shared" si="5"/>
        <v>-20437.395350000006</v>
      </c>
    </row>
    <row r="137" spans="1:11">
      <c r="A137" s="3">
        <v>59117.9</v>
      </c>
      <c r="B137" s="3">
        <v>4263</v>
      </c>
      <c r="C137" s="7">
        <v>0.11899999999999999</v>
      </c>
      <c r="D137" s="3">
        <v>9</v>
      </c>
      <c r="E137" s="3">
        <v>87.6</v>
      </c>
      <c r="F137" s="3">
        <v>4.01</v>
      </c>
      <c r="G137" s="3">
        <v>0</v>
      </c>
      <c r="H137" s="3">
        <v>3.6</v>
      </c>
      <c r="I137" s="3">
        <v>573155.18999999994</v>
      </c>
      <c r="J137">
        <f t="shared" si="4"/>
        <v>591296.08295000007</v>
      </c>
      <c r="K137">
        <f t="shared" si="5"/>
        <v>-18140.892950000125</v>
      </c>
    </row>
    <row r="138" spans="1:11">
      <c r="A138" s="3">
        <v>59060.05</v>
      </c>
      <c r="B138" s="3">
        <v>9702</v>
      </c>
      <c r="C138" s="7">
        <v>0.20100000000000001</v>
      </c>
      <c r="D138" s="3">
        <v>23</v>
      </c>
      <c r="E138" s="3">
        <v>80.900000000000006</v>
      </c>
      <c r="F138" s="3">
        <v>6.96</v>
      </c>
      <c r="G138" s="3">
        <v>0</v>
      </c>
      <c r="H138" s="4">
        <v>3.2</v>
      </c>
      <c r="I138" s="3">
        <v>761919.25</v>
      </c>
      <c r="J138">
        <f t="shared" si="4"/>
        <v>746923.75775000011</v>
      </c>
      <c r="K138">
        <f t="shared" si="5"/>
        <v>14995.492249999894</v>
      </c>
    </row>
    <row r="139" spans="1:11">
      <c r="A139" s="3">
        <v>58981.91</v>
      </c>
      <c r="B139" s="3">
        <v>7324</v>
      </c>
      <c r="C139" s="7">
        <v>9.4E-2</v>
      </c>
      <c r="D139" s="3">
        <v>15</v>
      </c>
      <c r="E139" s="3">
        <v>95.8</v>
      </c>
      <c r="F139" s="3">
        <v>0.5</v>
      </c>
      <c r="G139" s="3">
        <v>0</v>
      </c>
      <c r="H139" s="3">
        <v>3.5</v>
      </c>
      <c r="I139" s="3">
        <v>708985.19</v>
      </c>
      <c r="J139">
        <f t="shared" si="4"/>
        <v>730172.47389999998</v>
      </c>
      <c r="K139">
        <f t="shared" si="5"/>
        <v>-21187.283900000039</v>
      </c>
    </row>
    <row r="140" spans="1:11">
      <c r="A140" s="3">
        <v>58785.33</v>
      </c>
      <c r="B140" s="3">
        <v>4467</v>
      </c>
      <c r="C140" s="7">
        <v>0.22900000000000001</v>
      </c>
      <c r="D140" s="3">
        <v>14</v>
      </c>
      <c r="E140" s="3">
        <v>90.7</v>
      </c>
      <c r="F140" s="3">
        <v>1.92</v>
      </c>
      <c r="G140" s="3">
        <v>0</v>
      </c>
      <c r="H140" s="3">
        <v>3.7</v>
      </c>
      <c r="I140" s="3">
        <v>673348.56</v>
      </c>
      <c r="J140">
        <f t="shared" si="4"/>
        <v>620035.09695000015</v>
      </c>
      <c r="K140">
        <f t="shared" si="5"/>
        <v>53313.463049999904</v>
      </c>
    </row>
    <row r="141" spans="1:11">
      <c r="A141" s="3">
        <v>58749.63</v>
      </c>
      <c r="B141" s="3">
        <v>8252</v>
      </c>
      <c r="C141" s="7">
        <v>0.20300000000000001</v>
      </c>
      <c r="D141" s="3">
        <v>20</v>
      </c>
      <c r="E141" s="3">
        <v>85.2</v>
      </c>
      <c r="F141" s="3">
        <v>3.61</v>
      </c>
      <c r="G141" s="3">
        <v>0</v>
      </c>
      <c r="H141" s="3">
        <v>4.5</v>
      </c>
      <c r="I141" s="3">
        <v>680840.36</v>
      </c>
      <c r="J141">
        <f t="shared" si="4"/>
        <v>732903.91194999998</v>
      </c>
      <c r="K141">
        <f t="shared" si="5"/>
        <v>-52063.551949999994</v>
      </c>
    </row>
    <row r="142" spans="1:11">
      <c r="A142" s="3">
        <v>58688.26</v>
      </c>
      <c r="B142" s="3">
        <v>4022</v>
      </c>
      <c r="C142" s="7">
        <v>0.217</v>
      </c>
      <c r="D142" s="3">
        <v>12</v>
      </c>
      <c r="E142" s="3">
        <v>93.8</v>
      </c>
      <c r="F142" s="3">
        <v>11.78</v>
      </c>
      <c r="G142" s="3">
        <v>0</v>
      </c>
      <c r="H142" s="3">
        <v>3.7</v>
      </c>
      <c r="I142" s="3">
        <v>636613.23</v>
      </c>
      <c r="J142">
        <f t="shared" si="4"/>
        <v>583138.33515000017</v>
      </c>
      <c r="K142">
        <f t="shared" si="5"/>
        <v>53474.894849999808</v>
      </c>
    </row>
    <row r="143" spans="1:11">
      <c r="A143" s="3">
        <v>57948.88</v>
      </c>
      <c r="B143" s="3">
        <v>10741</v>
      </c>
      <c r="C143" s="7">
        <v>7.0000000000000007E-2</v>
      </c>
      <c r="D143" s="3">
        <v>25</v>
      </c>
      <c r="E143" s="3">
        <v>90.1</v>
      </c>
      <c r="F143" s="3">
        <v>4.03</v>
      </c>
      <c r="G143" s="3">
        <v>0</v>
      </c>
      <c r="H143" s="3">
        <v>3.1</v>
      </c>
      <c r="I143" s="3">
        <v>819660.59</v>
      </c>
      <c r="J143">
        <f t="shared" si="4"/>
        <v>824980.86419999984</v>
      </c>
      <c r="K143">
        <f t="shared" si="5"/>
        <v>-5320.2741999998689</v>
      </c>
    </row>
    <row r="144" spans="1:11">
      <c r="A144" s="3">
        <v>57919.07</v>
      </c>
      <c r="B144" s="3">
        <v>7374</v>
      </c>
      <c r="C144" s="7">
        <v>0.10299999999999999</v>
      </c>
      <c r="D144" s="3">
        <v>21</v>
      </c>
      <c r="E144" s="3">
        <v>82.3</v>
      </c>
      <c r="F144" s="3">
        <v>2.87</v>
      </c>
      <c r="G144" s="3">
        <v>0</v>
      </c>
      <c r="H144" s="3">
        <v>2.9</v>
      </c>
      <c r="I144" s="3">
        <v>727227.2</v>
      </c>
      <c r="J144">
        <f t="shared" si="4"/>
        <v>694297.79274999991</v>
      </c>
      <c r="K144">
        <f t="shared" si="5"/>
        <v>32929.407250000047</v>
      </c>
    </row>
    <row r="145" spans="1:11">
      <c r="A145" s="3">
        <v>57696.69</v>
      </c>
      <c r="B145" s="3">
        <v>10218</v>
      </c>
      <c r="C145" s="7">
        <v>0.121</v>
      </c>
      <c r="D145" s="3">
        <v>25</v>
      </c>
      <c r="E145" s="3">
        <v>94.8</v>
      </c>
      <c r="F145" s="3">
        <v>2.99</v>
      </c>
      <c r="G145" s="3">
        <v>0</v>
      </c>
      <c r="H145" s="3">
        <v>3.5</v>
      </c>
      <c r="I145" s="3">
        <v>811771.14</v>
      </c>
      <c r="J145">
        <f t="shared" si="4"/>
        <v>827580.22224999999</v>
      </c>
      <c r="K145">
        <f t="shared" si="5"/>
        <v>-15809.082249999978</v>
      </c>
    </row>
    <row r="146" spans="1:11">
      <c r="A146" s="3">
        <v>57390.04</v>
      </c>
      <c r="B146" s="3">
        <v>7374</v>
      </c>
      <c r="C146" s="7">
        <v>0.21</v>
      </c>
      <c r="D146" s="3">
        <v>21</v>
      </c>
      <c r="E146" s="3">
        <v>91.8</v>
      </c>
      <c r="F146" s="3">
        <v>0.2</v>
      </c>
      <c r="G146" s="3">
        <v>0</v>
      </c>
      <c r="H146" s="3">
        <v>3.1</v>
      </c>
      <c r="I146" s="3">
        <v>679230.86</v>
      </c>
      <c r="J146">
        <f t="shared" si="4"/>
        <v>724111.08569999994</v>
      </c>
      <c r="K146">
        <f t="shared" si="5"/>
        <v>-44880.225699999952</v>
      </c>
    </row>
    <row r="147" spans="1:11">
      <c r="A147" s="3">
        <v>57360.01</v>
      </c>
      <c r="B147" s="3">
        <v>8434</v>
      </c>
      <c r="C147" s="7">
        <v>0.151</v>
      </c>
      <c r="D147" s="3">
        <v>19</v>
      </c>
      <c r="E147" s="3">
        <v>84.1</v>
      </c>
      <c r="F147" s="3">
        <v>1.56</v>
      </c>
      <c r="G147" s="3">
        <v>0</v>
      </c>
      <c r="H147" s="3">
        <v>4.7</v>
      </c>
      <c r="I147" s="3">
        <v>820519.04</v>
      </c>
      <c r="J147">
        <f t="shared" si="4"/>
        <v>741818.16005000006</v>
      </c>
      <c r="K147">
        <f t="shared" si="5"/>
        <v>78700.879949999973</v>
      </c>
    </row>
    <row r="148" spans="1:11">
      <c r="A148" s="3">
        <v>57225.98</v>
      </c>
      <c r="B148" s="3">
        <v>2842</v>
      </c>
      <c r="C148" s="7">
        <v>0.112</v>
      </c>
      <c r="D148" s="3">
        <v>10</v>
      </c>
      <c r="E148" s="3">
        <v>79.5</v>
      </c>
      <c r="F148" s="3">
        <v>5.45</v>
      </c>
      <c r="G148" s="3">
        <v>0</v>
      </c>
      <c r="H148" s="3">
        <v>3.4</v>
      </c>
      <c r="I148" s="3">
        <v>536545.49</v>
      </c>
      <c r="J148">
        <f t="shared" si="4"/>
        <v>522383.79770000005</v>
      </c>
      <c r="K148">
        <f t="shared" si="5"/>
        <v>14161.692299999937</v>
      </c>
    </row>
    <row r="149" spans="1:11">
      <c r="A149" s="3">
        <v>57147.88</v>
      </c>
      <c r="B149" s="3">
        <v>5252</v>
      </c>
      <c r="C149" s="7">
        <v>0.161</v>
      </c>
      <c r="D149" s="3">
        <v>15</v>
      </c>
      <c r="E149" s="3">
        <v>95.5</v>
      </c>
      <c r="F149" s="3">
        <v>8.51</v>
      </c>
      <c r="G149" s="3">
        <v>0</v>
      </c>
      <c r="H149" s="3">
        <v>4.4000000000000004</v>
      </c>
      <c r="I149" s="3">
        <v>678311.17</v>
      </c>
      <c r="J149">
        <f t="shared" si="4"/>
        <v>650608.49664999999</v>
      </c>
      <c r="K149">
        <f t="shared" si="5"/>
        <v>27702.673350000056</v>
      </c>
    </row>
    <row r="150" spans="1:11">
      <c r="A150" s="3">
        <v>57143.3</v>
      </c>
      <c r="B150" s="3">
        <v>8038</v>
      </c>
      <c r="C150" s="7">
        <v>0.193</v>
      </c>
      <c r="D150" s="3">
        <v>17</v>
      </c>
      <c r="E150" s="3">
        <v>72.599999999999994</v>
      </c>
      <c r="F150" s="3">
        <v>4.55</v>
      </c>
      <c r="G150" s="3">
        <v>0</v>
      </c>
      <c r="H150" s="3">
        <v>4.2</v>
      </c>
      <c r="I150" s="3">
        <v>677096.71</v>
      </c>
      <c r="J150">
        <f t="shared" si="4"/>
        <v>673286.25744999992</v>
      </c>
      <c r="K150">
        <f t="shared" si="5"/>
        <v>3810.4525500000454</v>
      </c>
    </row>
    <row r="151" spans="1:11">
      <c r="A151" s="3">
        <v>56973.18</v>
      </c>
      <c r="B151" s="3">
        <v>6662</v>
      </c>
      <c r="C151" s="7">
        <v>0.1</v>
      </c>
      <c r="D151" s="3">
        <v>15</v>
      </c>
      <c r="E151" s="3">
        <v>77.7</v>
      </c>
      <c r="F151" s="3">
        <v>7.52</v>
      </c>
      <c r="G151" s="3">
        <v>1</v>
      </c>
      <c r="H151" s="3">
        <v>3.2</v>
      </c>
      <c r="I151" s="3">
        <v>643657.47</v>
      </c>
      <c r="J151">
        <f t="shared" si="4"/>
        <v>644244.32460000005</v>
      </c>
      <c r="K151">
        <f t="shared" si="5"/>
        <v>-586.85460000007879</v>
      </c>
    </row>
    <row r="152" spans="1:11">
      <c r="A152" s="3">
        <v>56918.16</v>
      </c>
      <c r="B152" s="3">
        <v>7015</v>
      </c>
      <c r="C152" s="7">
        <v>0.158</v>
      </c>
      <c r="D152" s="3">
        <v>18</v>
      </c>
      <c r="E152" s="3">
        <v>74.2</v>
      </c>
      <c r="F152" s="3">
        <v>0.2</v>
      </c>
      <c r="G152" s="3">
        <v>0</v>
      </c>
      <c r="H152" s="3">
        <v>3.4</v>
      </c>
      <c r="I152" s="3">
        <v>724216.07</v>
      </c>
      <c r="J152">
        <f t="shared" si="4"/>
        <v>658861.48849999998</v>
      </c>
      <c r="K152">
        <f t="shared" si="5"/>
        <v>65354.581499999971</v>
      </c>
    </row>
    <row r="153" spans="1:11">
      <c r="A153" s="3">
        <v>56856.63</v>
      </c>
      <c r="B153" s="3">
        <v>9431</v>
      </c>
      <c r="C153" s="7">
        <v>0.14199999999999999</v>
      </c>
      <c r="D153" s="3">
        <v>23</v>
      </c>
      <c r="E153" s="3">
        <v>86.9</v>
      </c>
      <c r="F153" s="3">
        <v>4.97</v>
      </c>
      <c r="G153" s="3">
        <v>0</v>
      </c>
      <c r="H153" s="3">
        <v>3.4</v>
      </c>
      <c r="I153" s="3">
        <v>658920.30000000005</v>
      </c>
      <c r="J153">
        <f t="shared" si="4"/>
        <v>766716.61040000001</v>
      </c>
      <c r="K153">
        <f t="shared" si="5"/>
        <v>-107796.31039999996</v>
      </c>
    </row>
    <row r="154" spans="1:11">
      <c r="A154" s="3">
        <v>56737.3</v>
      </c>
      <c r="B154" s="3">
        <v>8300</v>
      </c>
      <c r="C154" s="7">
        <v>3.2000000000000001E-2</v>
      </c>
      <c r="D154" s="3">
        <v>21</v>
      </c>
      <c r="E154" s="3">
        <v>83.2</v>
      </c>
      <c r="F154" s="3">
        <v>3.44</v>
      </c>
      <c r="G154" s="3">
        <v>1</v>
      </c>
      <c r="H154" s="3">
        <v>4.3</v>
      </c>
      <c r="I154" s="3">
        <v>813316.71</v>
      </c>
      <c r="J154">
        <f t="shared" si="4"/>
        <v>752402.58620000002</v>
      </c>
      <c r="K154">
        <f t="shared" si="5"/>
        <v>60914.123799999943</v>
      </c>
    </row>
    <row r="155" spans="1:11">
      <c r="A155" s="3">
        <v>56602.39</v>
      </c>
      <c r="B155" s="3">
        <v>7969</v>
      </c>
      <c r="C155" s="7">
        <v>0.17</v>
      </c>
      <c r="D155" s="3">
        <v>21</v>
      </c>
      <c r="E155" s="3">
        <v>88.3</v>
      </c>
      <c r="F155" s="3">
        <v>2.25</v>
      </c>
      <c r="G155" s="3">
        <v>0</v>
      </c>
      <c r="H155" s="3">
        <v>3.7</v>
      </c>
      <c r="I155" s="3">
        <v>745580.51</v>
      </c>
      <c r="J155">
        <f t="shared" si="4"/>
        <v>732632.88920000009</v>
      </c>
      <c r="K155">
        <f t="shared" si="5"/>
        <v>12947.620799999917</v>
      </c>
    </row>
    <row r="156" spans="1:11">
      <c r="A156" s="3">
        <v>56517.9</v>
      </c>
      <c r="B156" s="3">
        <v>9574</v>
      </c>
      <c r="C156" s="7">
        <v>0.20399999999999999</v>
      </c>
      <c r="D156" s="3">
        <v>20</v>
      </c>
      <c r="E156" s="3">
        <v>88.2</v>
      </c>
      <c r="F156" s="3">
        <v>5.37</v>
      </c>
      <c r="G156" s="3">
        <v>1</v>
      </c>
      <c r="H156" s="3">
        <v>4.9000000000000004</v>
      </c>
      <c r="I156" s="3">
        <v>842157.92</v>
      </c>
      <c r="J156">
        <f t="shared" si="4"/>
        <v>788050.61729999993</v>
      </c>
      <c r="K156">
        <f t="shared" si="5"/>
        <v>54107.302700000117</v>
      </c>
    </row>
    <row r="157" spans="1:11">
      <c r="A157" s="3">
        <v>56413.83</v>
      </c>
      <c r="B157" s="3">
        <v>8303</v>
      </c>
      <c r="C157" s="7">
        <v>0.11600000000000001</v>
      </c>
      <c r="D157" s="3">
        <v>18</v>
      </c>
      <c r="E157" s="3">
        <v>93.6</v>
      </c>
      <c r="F157" s="3">
        <v>2.7</v>
      </c>
      <c r="G157" s="3">
        <v>0</v>
      </c>
      <c r="H157" s="3">
        <v>3.7</v>
      </c>
      <c r="I157" s="3">
        <v>675917.63</v>
      </c>
      <c r="J157">
        <f t="shared" si="4"/>
        <v>751152.49680000008</v>
      </c>
      <c r="K157">
        <f t="shared" si="5"/>
        <v>-75234.866800000076</v>
      </c>
    </row>
    <row r="158" spans="1:11">
      <c r="A158" s="3">
        <v>55788.61</v>
      </c>
      <c r="B158" s="3">
        <v>2312</v>
      </c>
      <c r="C158" s="7">
        <v>5.8000000000000003E-2</v>
      </c>
      <c r="D158" s="3">
        <v>10</v>
      </c>
      <c r="E158" s="3">
        <v>91.3</v>
      </c>
      <c r="F158" s="3">
        <v>1.99</v>
      </c>
      <c r="G158" s="3">
        <v>0</v>
      </c>
      <c r="H158" s="3">
        <v>3.8</v>
      </c>
      <c r="I158" s="3">
        <v>550962.93000000005</v>
      </c>
      <c r="J158">
        <f t="shared" si="4"/>
        <v>559107.79240000003</v>
      </c>
      <c r="K158">
        <f t="shared" si="5"/>
        <v>-8144.8623999999836</v>
      </c>
    </row>
    <row r="159" spans="1:11">
      <c r="A159" s="3">
        <v>55716.82</v>
      </c>
      <c r="B159" s="3">
        <v>10054</v>
      </c>
      <c r="C159" s="7">
        <v>0.14599999999999999</v>
      </c>
      <c r="D159" s="3">
        <v>24</v>
      </c>
      <c r="E159" s="3">
        <v>84.9</v>
      </c>
      <c r="F159" s="3">
        <v>1.06</v>
      </c>
      <c r="G159" s="3">
        <v>0</v>
      </c>
      <c r="H159" s="3">
        <v>4.3</v>
      </c>
      <c r="I159" s="3">
        <v>726606.28</v>
      </c>
      <c r="J159">
        <f t="shared" si="4"/>
        <v>800243.34510000004</v>
      </c>
      <c r="K159">
        <f t="shared" si="5"/>
        <v>-73637.065100000007</v>
      </c>
    </row>
    <row r="160" spans="1:11">
      <c r="A160" s="3">
        <v>55599.56</v>
      </c>
      <c r="B160" s="3">
        <v>5896</v>
      </c>
      <c r="C160" s="7">
        <v>3.5999999999999997E-2</v>
      </c>
      <c r="D160" s="3">
        <v>12</v>
      </c>
      <c r="E160" s="3">
        <v>93.1</v>
      </c>
      <c r="F160" s="3">
        <v>6.13</v>
      </c>
      <c r="G160" s="3">
        <v>0</v>
      </c>
      <c r="H160" s="3">
        <v>3.3</v>
      </c>
      <c r="I160" s="3">
        <v>668459.37</v>
      </c>
      <c r="J160">
        <f t="shared" si="4"/>
        <v>654993.28249999997</v>
      </c>
      <c r="K160">
        <f t="shared" si="5"/>
        <v>13466.087500000023</v>
      </c>
    </row>
    <row r="161" spans="1:11">
      <c r="A161" s="3">
        <v>55477.61</v>
      </c>
      <c r="B161" s="3">
        <v>5903</v>
      </c>
      <c r="C161" s="7">
        <v>0.10199999999999999</v>
      </c>
      <c r="D161" s="3">
        <v>14</v>
      </c>
      <c r="E161" s="3">
        <v>96.2</v>
      </c>
      <c r="F161" s="3">
        <v>1.41</v>
      </c>
      <c r="G161" s="3">
        <v>0</v>
      </c>
      <c r="H161" s="3">
        <v>3.3</v>
      </c>
      <c r="I161" s="3">
        <v>763162.45</v>
      </c>
      <c r="J161">
        <f t="shared" si="4"/>
        <v>679163.06620000012</v>
      </c>
      <c r="K161">
        <f t="shared" si="5"/>
        <v>83999.383799999836</v>
      </c>
    </row>
    <row r="162" spans="1:11">
      <c r="A162" s="3">
        <v>55388.11</v>
      </c>
      <c r="B162" s="3">
        <v>3091</v>
      </c>
      <c r="C162" s="7">
        <v>0.108</v>
      </c>
      <c r="D162" s="3">
        <v>7</v>
      </c>
      <c r="E162" s="3">
        <v>85.4</v>
      </c>
      <c r="F162" s="3">
        <v>7.34</v>
      </c>
      <c r="G162" s="3">
        <v>0</v>
      </c>
      <c r="H162" s="3">
        <v>4.9000000000000004</v>
      </c>
      <c r="I162" s="3">
        <v>574436.29</v>
      </c>
      <c r="J162">
        <f t="shared" si="4"/>
        <v>546302.60240000009</v>
      </c>
      <c r="K162">
        <f t="shared" si="5"/>
        <v>28133.687599999947</v>
      </c>
    </row>
    <row r="163" spans="1:11">
      <c r="A163" s="3">
        <v>55371.97</v>
      </c>
      <c r="B163" s="3">
        <v>4162</v>
      </c>
      <c r="C163" s="7">
        <v>0.183</v>
      </c>
      <c r="D163" s="3">
        <v>11</v>
      </c>
      <c r="E163" s="3">
        <v>92</v>
      </c>
      <c r="F163" s="3">
        <v>0.2</v>
      </c>
      <c r="G163" s="3">
        <v>1</v>
      </c>
      <c r="H163" s="3">
        <v>4.2</v>
      </c>
      <c r="I163" s="3">
        <v>609949</v>
      </c>
      <c r="J163">
        <f t="shared" si="4"/>
        <v>628629.98505000002</v>
      </c>
      <c r="K163">
        <f t="shared" si="5"/>
        <v>-18680.985050000018</v>
      </c>
    </row>
    <row r="164" spans="1:11">
      <c r="A164" s="3">
        <v>55270.52</v>
      </c>
      <c r="B164" s="3">
        <v>9315</v>
      </c>
      <c r="C164" s="7">
        <v>0.16900000000000001</v>
      </c>
      <c r="D164" s="3">
        <v>23</v>
      </c>
      <c r="E164" s="3">
        <v>91.9</v>
      </c>
      <c r="F164" s="4">
        <v>4.9400000000000004</v>
      </c>
      <c r="G164" s="3">
        <v>0</v>
      </c>
      <c r="H164" s="3">
        <v>4</v>
      </c>
      <c r="I164" s="3">
        <v>783672.82</v>
      </c>
      <c r="J164">
        <f t="shared" si="4"/>
        <v>780934.64535000001</v>
      </c>
      <c r="K164">
        <f t="shared" si="5"/>
        <v>2738.1746499999426</v>
      </c>
    </row>
    <row r="165" spans="1:11">
      <c r="A165" s="3">
        <v>55101.1</v>
      </c>
      <c r="B165" s="3">
        <v>5281</v>
      </c>
      <c r="C165" s="7">
        <v>0.189</v>
      </c>
      <c r="D165" s="3">
        <v>11</v>
      </c>
      <c r="E165" s="3">
        <v>91</v>
      </c>
      <c r="F165" s="3">
        <v>2.7</v>
      </c>
      <c r="G165" s="3">
        <v>0</v>
      </c>
      <c r="H165" s="3">
        <v>4.4000000000000004</v>
      </c>
      <c r="I165" s="3">
        <v>675177.68</v>
      </c>
      <c r="J165">
        <f t="shared" si="4"/>
        <v>638306.62435000006</v>
      </c>
      <c r="K165">
        <f t="shared" si="5"/>
        <v>36871.055649999995</v>
      </c>
    </row>
    <row r="166" spans="1:11">
      <c r="A166" s="3">
        <v>55081.16</v>
      </c>
      <c r="B166" s="3">
        <v>5485</v>
      </c>
      <c r="C166" s="7">
        <v>3.5999999999999997E-2</v>
      </c>
      <c r="D166" s="3">
        <v>12</v>
      </c>
      <c r="E166" s="3">
        <v>88</v>
      </c>
      <c r="F166" s="3">
        <v>4.55</v>
      </c>
      <c r="G166" s="3">
        <v>0</v>
      </c>
      <c r="H166" s="3">
        <v>3.5</v>
      </c>
      <c r="I166" s="3">
        <v>674774.09</v>
      </c>
      <c r="J166">
        <f t="shared" si="4"/>
        <v>634308.09270000004</v>
      </c>
      <c r="K166">
        <f t="shared" si="5"/>
        <v>40465.99729999993</v>
      </c>
    </row>
    <row r="167" spans="1:11">
      <c r="A167" s="3">
        <v>54968.98</v>
      </c>
      <c r="B167" s="3">
        <v>7816</v>
      </c>
      <c r="C167" s="7">
        <v>0.23200000000000001</v>
      </c>
      <c r="D167" s="3">
        <v>19</v>
      </c>
      <c r="E167" s="3">
        <v>95.7</v>
      </c>
      <c r="F167" s="3">
        <v>7.85</v>
      </c>
      <c r="G167" s="3">
        <v>0</v>
      </c>
      <c r="H167" s="3">
        <v>4.7</v>
      </c>
      <c r="I167" s="3">
        <v>735480.19</v>
      </c>
      <c r="J167">
        <f t="shared" si="4"/>
        <v>732343.22869999998</v>
      </c>
      <c r="K167">
        <f t="shared" si="5"/>
        <v>3136.9612999999663</v>
      </c>
    </row>
    <row r="168" spans="1:11">
      <c r="A168" s="3">
        <v>54966.18</v>
      </c>
      <c r="B168" s="3">
        <v>4423</v>
      </c>
      <c r="C168" s="7">
        <v>0.186</v>
      </c>
      <c r="D168" s="3">
        <v>13</v>
      </c>
      <c r="E168" s="3">
        <v>88.7</v>
      </c>
      <c r="F168" s="3">
        <v>0.2</v>
      </c>
      <c r="G168" s="3">
        <v>0</v>
      </c>
      <c r="H168" s="3">
        <v>4.4000000000000004</v>
      </c>
      <c r="I168" s="3">
        <v>554012.06999999995</v>
      </c>
      <c r="J168">
        <f t="shared" si="4"/>
        <v>620700.35029999993</v>
      </c>
      <c r="K168">
        <f t="shared" si="5"/>
        <v>-66688.280299999984</v>
      </c>
    </row>
    <row r="169" spans="1:11">
      <c r="A169" s="3">
        <v>54948.02</v>
      </c>
      <c r="B169" s="3">
        <v>6534</v>
      </c>
      <c r="C169" s="7">
        <v>0.183</v>
      </c>
      <c r="D169" s="3">
        <v>14</v>
      </c>
      <c r="E169" s="3">
        <v>94.5</v>
      </c>
      <c r="F169" s="3">
        <v>1.56</v>
      </c>
      <c r="G169" s="3">
        <v>0</v>
      </c>
      <c r="H169" s="3">
        <v>4</v>
      </c>
      <c r="I169" s="3">
        <v>727957.48</v>
      </c>
      <c r="J169">
        <f t="shared" si="4"/>
        <v>692185.89765000006</v>
      </c>
      <c r="K169">
        <f t="shared" si="5"/>
        <v>35771.582349999924</v>
      </c>
    </row>
    <row r="170" spans="1:11">
      <c r="A170" s="3">
        <v>54872.82</v>
      </c>
      <c r="B170" s="3">
        <v>5962</v>
      </c>
      <c r="C170" s="7">
        <v>6.4000000000000001E-2</v>
      </c>
      <c r="D170" s="3">
        <v>12</v>
      </c>
      <c r="E170" s="3">
        <v>85.4</v>
      </c>
      <c r="F170" s="3">
        <v>2.58</v>
      </c>
      <c r="G170" s="3">
        <v>0</v>
      </c>
      <c r="H170" s="3">
        <v>2.9</v>
      </c>
      <c r="I170" s="3">
        <v>691112.6</v>
      </c>
      <c r="J170">
        <f t="shared" si="4"/>
        <v>637048.02200000011</v>
      </c>
      <c r="K170">
        <f t="shared" si="5"/>
        <v>54064.577999999863</v>
      </c>
    </row>
    <row r="171" spans="1:11">
      <c r="A171" s="3">
        <v>54597.83</v>
      </c>
      <c r="B171" s="3">
        <v>9429</v>
      </c>
      <c r="C171" s="7">
        <v>0.188</v>
      </c>
      <c r="D171" s="3">
        <v>21</v>
      </c>
      <c r="E171" s="3">
        <v>83.3</v>
      </c>
      <c r="F171" s="3">
        <v>11.71</v>
      </c>
      <c r="G171" s="3">
        <v>0</v>
      </c>
      <c r="H171" s="3">
        <v>4.2</v>
      </c>
      <c r="I171" s="3">
        <v>641865.03</v>
      </c>
      <c r="J171">
        <f t="shared" si="4"/>
        <v>732866.38669999992</v>
      </c>
      <c r="K171">
        <f t="shared" si="5"/>
        <v>-91001.356699999887</v>
      </c>
    </row>
    <row r="172" spans="1:11">
      <c r="A172" s="3">
        <v>54479.33</v>
      </c>
      <c r="B172" s="3">
        <v>5012</v>
      </c>
      <c r="C172" s="7">
        <v>0.28399999999999997</v>
      </c>
      <c r="D172" s="3">
        <v>13</v>
      </c>
      <c r="E172" s="3">
        <v>86</v>
      </c>
      <c r="F172" s="3">
        <v>2.2400000000000002</v>
      </c>
      <c r="G172" s="3">
        <v>1</v>
      </c>
      <c r="H172" s="3">
        <v>4.3</v>
      </c>
      <c r="I172" s="3">
        <v>578949.84</v>
      </c>
      <c r="J172">
        <f t="shared" si="4"/>
        <v>627366.26740000001</v>
      </c>
      <c r="K172">
        <f t="shared" si="5"/>
        <v>-48416.427400000044</v>
      </c>
    </row>
    <row r="173" spans="1:11">
      <c r="A173" s="3">
        <v>54322.94</v>
      </c>
      <c r="B173" s="3">
        <v>5434</v>
      </c>
      <c r="C173" s="7">
        <v>0.2</v>
      </c>
      <c r="D173" s="3">
        <v>13</v>
      </c>
      <c r="E173" s="3">
        <v>85.7</v>
      </c>
      <c r="F173" s="3">
        <v>10.6</v>
      </c>
      <c r="G173" s="3">
        <v>0</v>
      </c>
      <c r="H173" s="3">
        <v>4.2</v>
      </c>
      <c r="I173" s="3">
        <v>621677.30000000005</v>
      </c>
      <c r="J173">
        <f t="shared" si="4"/>
        <v>606197.76320000016</v>
      </c>
      <c r="K173">
        <f t="shared" si="5"/>
        <v>15479.536799999885</v>
      </c>
    </row>
    <row r="174" spans="1:11">
      <c r="A174" s="3">
        <v>54300.87</v>
      </c>
      <c r="B174" s="3">
        <v>7875</v>
      </c>
      <c r="C174" s="7">
        <v>0.107</v>
      </c>
      <c r="D174" s="3">
        <v>19</v>
      </c>
      <c r="E174" s="3">
        <v>94.1</v>
      </c>
      <c r="F174" s="3">
        <v>0.95</v>
      </c>
      <c r="G174" s="3">
        <v>0</v>
      </c>
      <c r="H174" s="3">
        <v>3.7</v>
      </c>
      <c r="I174" s="3">
        <v>795464.47</v>
      </c>
      <c r="J174">
        <f t="shared" si="4"/>
        <v>746868.46815000009</v>
      </c>
      <c r="K174">
        <f t="shared" si="5"/>
        <v>48596.001849999884</v>
      </c>
    </row>
    <row r="175" spans="1:11">
      <c r="A175" s="3">
        <v>54080.91</v>
      </c>
      <c r="B175" s="3">
        <v>7083</v>
      </c>
      <c r="C175" s="7">
        <v>0</v>
      </c>
      <c r="D175" s="3">
        <v>15</v>
      </c>
      <c r="E175" s="3">
        <v>97</v>
      </c>
      <c r="F175" s="3">
        <v>5.33</v>
      </c>
      <c r="G175" s="3">
        <v>0</v>
      </c>
      <c r="H175" s="3">
        <v>4.0999999999999996</v>
      </c>
      <c r="I175" s="3">
        <v>702068.92</v>
      </c>
      <c r="J175">
        <f t="shared" si="4"/>
        <v>720333.38410000002</v>
      </c>
      <c r="K175">
        <f t="shared" si="5"/>
        <v>-18264.464099999983</v>
      </c>
    </row>
    <row r="176" spans="1:11">
      <c r="A176" s="3">
        <v>54002.83</v>
      </c>
      <c r="B176" s="3">
        <v>4366</v>
      </c>
      <c r="C176" s="7">
        <v>2.7E-2</v>
      </c>
      <c r="D176" s="3">
        <v>15</v>
      </c>
      <c r="E176" s="3">
        <v>90.6</v>
      </c>
      <c r="F176" s="3">
        <v>12.82</v>
      </c>
      <c r="G176" s="3">
        <v>0</v>
      </c>
      <c r="H176" s="3">
        <v>4.5999999999999996</v>
      </c>
      <c r="I176" s="3">
        <v>574066.61</v>
      </c>
      <c r="J176">
        <f t="shared" si="4"/>
        <v>606782.06065000012</v>
      </c>
      <c r="K176">
        <f t="shared" si="5"/>
        <v>-32715.45065000013</v>
      </c>
    </row>
    <row r="177" spans="1:11">
      <c r="A177" s="3">
        <v>53762.92</v>
      </c>
      <c r="B177" s="3">
        <v>6821</v>
      </c>
      <c r="C177" s="7">
        <v>6.6000000000000003E-2</v>
      </c>
      <c r="D177" s="3">
        <v>19</v>
      </c>
      <c r="E177" s="3">
        <v>94.6</v>
      </c>
      <c r="F177" s="3">
        <v>7.03</v>
      </c>
      <c r="G177" s="3">
        <v>0</v>
      </c>
      <c r="H177" s="3">
        <v>4.4000000000000004</v>
      </c>
      <c r="I177" s="3">
        <v>630829.93999999994</v>
      </c>
      <c r="J177">
        <f t="shared" si="4"/>
        <v>710960.46179999993</v>
      </c>
      <c r="K177">
        <f t="shared" si="5"/>
        <v>-80130.521799999988</v>
      </c>
    </row>
    <row r="178" spans="1:11">
      <c r="A178" s="3">
        <v>53546.34</v>
      </c>
      <c r="B178" s="3">
        <v>8004</v>
      </c>
      <c r="C178" s="7">
        <v>0</v>
      </c>
      <c r="D178" s="3">
        <v>21</v>
      </c>
      <c r="E178" s="3">
        <v>95.2</v>
      </c>
      <c r="F178" s="3">
        <v>2.83</v>
      </c>
      <c r="G178" s="3">
        <v>0</v>
      </c>
      <c r="H178" s="3">
        <v>3</v>
      </c>
      <c r="I178" s="3">
        <v>763159.92</v>
      </c>
      <c r="J178">
        <f t="shared" si="4"/>
        <v>753834.9915</v>
      </c>
      <c r="K178">
        <f t="shared" si="5"/>
        <v>9324.9285000000382</v>
      </c>
    </row>
    <row r="179" spans="1:11">
      <c r="A179" s="3">
        <v>53367.73</v>
      </c>
      <c r="B179" s="3">
        <v>7291</v>
      </c>
      <c r="C179" s="7">
        <v>0.14599999999999999</v>
      </c>
      <c r="D179" s="3">
        <v>18</v>
      </c>
      <c r="E179" s="3">
        <v>90.6</v>
      </c>
      <c r="F179" s="3">
        <v>6.34</v>
      </c>
      <c r="G179" s="3">
        <v>1</v>
      </c>
      <c r="H179" s="3">
        <v>3.8</v>
      </c>
      <c r="I179" s="3">
        <v>712219.81</v>
      </c>
      <c r="J179">
        <f t="shared" si="4"/>
        <v>711461.67869999993</v>
      </c>
      <c r="K179">
        <f t="shared" si="5"/>
        <v>758.13130000012461</v>
      </c>
    </row>
    <row r="180" spans="1:11">
      <c r="A180" s="3">
        <v>53351.7</v>
      </c>
      <c r="B180" s="3">
        <v>4259</v>
      </c>
      <c r="C180" s="7">
        <v>0.156</v>
      </c>
      <c r="D180" s="3">
        <v>15</v>
      </c>
      <c r="E180" s="3">
        <v>93.7</v>
      </c>
      <c r="F180" s="3">
        <v>6.03</v>
      </c>
      <c r="G180" s="3">
        <v>0</v>
      </c>
      <c r="H180" s="3">
        <v>3.4</v>
      </c>
      <c r="I180" s="3">
        <v>601568.87</v>
      </c>
      <c r="J180">
        <f t="shared" si="4"/>
        <v>610019.20369999995</v>
      </c>
      <c r="K180">
        <f t="shared" si="5"/>
        <v>-8450.3336999999592</v>
      </c>
    </row>
    <row r="181" spans="1:11">
      <c r="A181" s="3">
        <v>53084.76</v>
      </c>
      <c r="B181" s="3">
        <v>3642</v>
      </c>
      <c r="C181" s="7">
        <v>0.15</v>
      </c>
      <c r="D181" s="3">
        <v>12</v>
      </c>
      <c r="E181" s="3">
        <v>91.4</v>
      </c>
      <c r="F181" s="3">
        <v>0.2</v>
      </c>
      <c r="G181" s="3">
        <v>0</v>
      </c>
      <c r="H181" s="3">
        <v>4.4000000000000004</v>
      </c>
      <c r="I181" s="3">
        <v>635181.35</v>
      </c>
      <c r="J181">
        <f t="shared" si="4"/>
        <v>604263.88729999994</v>
      </c>
      <c r="K181">
        <f t="shared" si="5"/>
        <v>30917.462700000033</v>
      </c>
    </row>
    <row r="182" spans="1:11">
      <c r="A182" s="3">
        <v>53015.46</v>
      </c>
      <c r="B182" s="3">
        <v>3279</v>
      </c>
      <c r="C182" s="7">
        <v>8.6999999999999994E-2</v>
      </c>
      <c r="D182" s="3">
        <v>9</v>
      </c>
      <c r="E182" s="3">
        <v>84.3</v>
      </c>
      <c r="F182" s="3">
        <v>22.02</v>
      </c>
      <c r="G182" s="3">
        <v>0</v>
      </c>
      <c r="H182" s="3">
        <v>3.9</v>
      </c>
      <c r="I182" s="3">
        <v>463534.25</v>
      </c>
      <c r="J182">
        <f t="shared" si="4"/>
        <v>500209.08405</v>
      </c>
      <c r="K182">
        <f t="shared" si="5"/>
        <v>-36674.834050000005</v>
      </c>
    </row>
    <row r="183" spans="1:11">
      <c r="A183" s="3">
        <v>52952.12</v>
      </c>
      <c r="B183" s="3">
        <v>4377</v>
      </c>
      <c r="C183" s="7">
        <v>9.1999999999999998E-2</v>
      </c>
      <c r="D183" s="3">
        <v>14</v>
      </c>
      <c r="E183" s="3">
        <v>88.6</v>
      </c>
      <c r="F183" s="3">
        <v>13.59</v>
      </c>
      <c r="G183" s="3">
        <v>0</v>
      </c>
      <c r="H183" s="3">
        <v>3.1</v>
      </c>
      <c r="I183" s="3">
        <v>553756.43000000005</v>
      </c>
      <c r="J183">
        <f t="shared" si="4"/>
        <v>574297.22430000012</v>
      </c>
      <c r="K183">
        <f t="shared" si="5"/>
        <v>-20540.794300000067</v>
      </c>
    </row>
    <row r="184" spans="1:11">
      <c r="A184" s="3">
        <v>52843.75</v>
      </c>
      <c r="B184" s="3">
        <v>8268</v>
      </c>
      <c r="C184" s="7">
        <v>0.13800000000000001</v>
      </c>
      <c r="D184" s="3">
        <v>19</v>
      </c>
      <c r="E184" s="3">
        <v>87.3</v>
      </c>
      <c r="F184" s="3">
        <v>4.3899999999999997</v>
      </c>
      <c r="G184" s="3">
        <v>1</v>
      </c>
      <c r="H184" s="3">
        <v>4.7</v>
      </c>
      <c r="I184" s="3">
        <v>730890.01</v>
      </c>
      <c r="J184">
        <f t="shared" si="4"/>
        <v>746955.8925999999</v>
      </c>
      <c r="K184">
        <f t="shared" si="5"/>
        <v>-16065.882599999895</v>
      </c>
    </row>
    <row r="185" spans="1:11">
      <c r="A185" s="3">
        <v>52758.01</v>
      </c>
      <c r="B185" s="3">
        <v>4063</v>
      </c>
      <c r="C185" s="7">
        <v>5.7000000000000002E-2</v>
      </c>
      <c r="D185" s="3">
        <v>12</v>
      </c>
      <c r="E185" s="3">
        <v>91.7</v>
      </c>
      <c r="F185" s="3">
        <v>0.92</v>
      </c>
      <c r="G185" s="3">
        <v>0</v>
      </c>
      <c r="H185" s="3">
        <v>3.5</v>
      </c>
      <c r="I185" s="3">
        <v>713611.16</v>
      </c>
      <c r="J185">
        <f t="shared" si="4"/>
        <v>611762.04555000016</v>
      </c>
      <c r="K185">
        <f t="shared" si="5"/>
        <v>101849.11444999988</v>
      </c>
    </row>
    <row r="186" spans="1:11">
      <c r="A186" s="3">
        <v>52715.1</v>
      </c>
      <c r="B186" s="3">
        <v>7223</v>
      </c>
      <c r="C186" s="7">
        <v>0.122</v>
      </c>
      <c r="D186" s="3">
        <v>16</v>
      </c>
      <c r="E186" s="3">
        <v>84.2</v>
      </c>
      <c r="F186" s="3">
        <v>16.149999999999999</v>
      </c>
      <c r="G186" s="3">
        <v>0</v>
      </c>
      <c r="H186" s="3">
        <v>3.7</v>
      </c>
      <c r="I186" s="3">
        <v>701641.97</v>
      </c>
      <c r="J186">
        <f t="shared" si="4"/>
        <v>643286.84679999994</v>
      </c>
      <c r="K186">
        <f t="shared" si="5"/>
        <v>58355.123200000031</v>
      </c>
    </row>
    <row r="187" spans="1:11">
      <c r="A187" s="3">
        <v>52483.77</v>
      </c>
      <c r="B187" s="3">
        <v>10453</v>
      </c>
      <c r="C187" s="7">
        <v>0.247</v>
      </c>
      <c r="D187" s="3">
        <v>25</v>
      </c>
      <c r="E187" s="3">
        <v>99</v>
      </c>
      <c r="F187" s="3">
        <v>6.31</v>
      </c>
      <c r="G187" s="3">
        <v>0</v>
      </c>
      <c r="H187" s="3">
        <v>3.6</v>
      </c>
      <c r="I187" s="3">
        <v>800979.78</v>
      </c>
      <c r="J187">
        <f t="shared" si="4"/>
        <v>822943.40775000001</v>
      </c>
      <c r="K187">
        <f t="shared" si="5"/>
        <v>-21963.627749999985</v>
      </c>
    </row>
    <row r="188" spans="1:11">
      <c r="A188" s="3">
        <v>52285.45</v>
      </c>
      <c r="B188" s="3">
        <v>3618</v>
      </c>
      <c r="C188" s="7">
        <v>8.5999999999999993E-2</v>
      </c>
      <c r="D188" s="3">
        <v>11</v>
      </c>
      <c r="E188" s="3">
        <v>95.6</v>
      </c>
      <c r="F188" s="3">
        <v>5.17</v>
      </c>
      <c r="G188" s="3">
        <v>1</v>
      </c>
      <c r="H188" s="3">
        <v>4.4000000000000004</v>
      </c>
      <c r="I188" s="3">
        <v>593247.25</v>
      </c>
      <c r="J188">
        <f t="shared" si="4"/>
        <v>615241.61959999998</v>
      </c>
      <c r="K188">
        <f t="shared" si="5"/>
        <v>-21994.369599999976</v>
      </c>
    </row>
    <row r="189" spans="1:11">
      <c r="A189" s="3">
        <v>51996.32</v>
      </c>
      <c r="B189" s="3">
        <v>3834</v>
      </c>
      <c r="C189" s="7">
        <v>9.6000000000000002E-2</v>
      </c>
      <c r="D189" s="3">
        <v>8</v>
      </c>
      <c r="E189" s="3">
        <v>86.7</v>
      </c>
      <c r="F189" s="3">
        <v>6.04</v>
      </c>
      <c r="G189" s="3">
        <v>0</v>
      </c>
      <c r="H189" s="3">
        <v>4.5</v>
      </c>
      <c r="I189" s="3">
        <v>546223.69999999995</v>
      </c>
      <c r="J189">
        <f t="shared" si="4"/>
        <v>570408.42940000002</v>
      </c>
      <c r="K189">
        <f t="shared" si="5"/>
        <v>-24184.729400000069</v>
      </c>
    </row>
    <row r="190" spans="1:11">
      <c r="A190" s="3">
        <v>51781.599999999999</v>
      </c>
      <c r="B190" s="3">
        <v>5648</v>
      </c>
      <c r="C190" s="7">
        <v>5.8999999999999997E-2</v>
      </c>
      <c r="D190" s="3">
        <v>13</v>
      </c>
      <c r="E190" s="3">
        <v>85.5</v>
      </c>
      <c r="F190" s="3">
        <v>4.04</v>
      </c>
      <c r="G190" s="3">
        <v>0</v>
      </c>
      <c r="H190" s="3">
        <v>3.7</v>
      </c>
      <c r="I190" s="3">
        <v>676337.41</v>
      </c>
      <c r="J190">
        <f t="shared" si="4"/>
        <v>632427.40925000003</v>
      </c>
      <c r="K190">
        <f t="shared" si="5"/>
        <v>43910.000750000007</v>
      </c>
    </row>
    <row r="191" spans="1:11">
      <c r="A191" s="3">
        <v>51575.68</v>
      </c>
      <c r="B191" s="3">
        <v>5329</v>
      </c>
      <c r="C191" s="7">
        <v>4.7E-2</v>
      </c>
      <c r="D191" s="3">
        <v>17</v>
      </c>
      <c r="E191" s="3">
        <v>88.1</v>
      </c>
      <c r="F191" s="3">
        <v>19.78</v>
      </c>
      <c r="G191" s="3">
        <v>0</v>
      </c>
      <c r="H191" s="3">
        <v>3.8</v>
      </c>
      <c r="I191" s="3">
        <v>614024.91</v>
      </c>
      <c r="J191">
        <f t="shared" si="4"/>
        <v>599543.12025000004</v>
      </c>
      <c r="K191">
        <f t="shared" si="5"/>
        <v>14481.789749999996</v>
      </c>
    </row>
    <row r="192" spans="1:11">
      <c r="A192" s="3">
        <v>51450.55</v>
      </c>
      <c r="B192" s="3">
        <v>4902</v>
      </c>
      <c r="C192" s="7">
        <v>8.5999999999999993E-2</v>
      </c>
      <c r="D192" s="3">
        <v>11</v>
      </c>
      <c r="E192" s="3">
        <v>83.7</v>
      </c>
      <c r="F192" s="3">
        <v>6.92</v>
      </c>
      <c r="G192" s="3">
        <v>1</v>
      </c>
      <c r="H192" s="3">
        <v>4.2</v>
      </c>
      <c r="I192" s="3">
        <v>677640.65</v>
      </c>
      <c r="J192">
        <f t="shared" si="4"/>
        <v>607550.68109999993</v>
      </c>
      <c r="K192">
        <f t="shared" si="5"/>
        <v>70089.968900000094</v>
      </c>
    </row>
    <row r="193" spans="1:11">
      <c r="A193" s="3">
        <v>51430.31</v>
      </c>
      <c r="B193" s="3">
        <v>6427</v>
      </c>
      <c r="C193" s="7">
        <v>0.23400000000000001</v>
      </c>
      <c r="D193" s="3">
        <v>14</v>
      </c>
      <c r="E193" s="3">
        <v>88.8</v>
      </c>
      <c r="F193" s="3">
        <v>0.77</v>
      </c>
      <c r="G193" s="3">
        <v>0</v>
      </c>
      <c r="H193" s="3">
        <v>4.0999999999999996</v>
      </c>
      <c r="I193" s="3">
        <v>715890.53</v>
      </c>
      <c r="J193">
        <f t="shared" si="4"/>
        <v>667686.56960000005</v>
      </c>
      <c r="K193">
        <f t="shared" si="5"/>
        <v>48203.960399999982</v>
      </c>
    </row>
    <row r="194" spans="1:11">
      <c r="A194" s="3">
        <v>51148.69</v>
      </c>
      <c r="B194" s="3">
        <v>7940</v>
      </c>
      <c r="C194" s="7">
        <v>0.156</v>
      </c>
      <c r="D194" s="3">
        <v>18</v>
      </c>
      <c r="E194" s="3">
        <v>93.3</v>
      </c>
      <c r="F194" s="3">
        <v>10.91</v>
      </c>
      <c r="G194" s="3">
        <v>0</v>
      </c>
      <c r="H194" s="3">
        <v>3.6</v>
      </c>
      <c r="I194" s="3">
        <v>717141.55</v>
      </c>
      <c r="J194">
        <f t="shared" si="4"/>
        <v>706284.28669999994</v>
      </c>
      <c r="K194">
        <f t="shared" si="5"/>
        <v>10857.263300000108</v>
      </c>
    </row>
    <row r="195" spans="1:11">
      <c r="A195" s="3">
        <v>51133.43</v>
      </c>
      <c r="B195" s="3">
        <v>5150</v>
      </c>
      <c r="C195" s="7">
        <v>0.15</v>
      </c>
      <c r="D195" s="3">
        <v>12</v>
      </c>
      <c r="E195" s="3">
        <v>88.5</v>
      </c>
      <c r="F195" s="3">
        <v>1.54</v>
      </c>
      <c r="G195" s="3">
        <v>0</v>
      </c>
      <c r="H195" s="3">
        <v>3.2</v>
      </c>
      <c r="I195" s="3">
        <v>611924.27</v>
      </c>
      <c r="J195">
        <f t="shared" ref="J195:J258" si="6">96294.24+(1.18*A195)+(27.99*B195)-(71956.85*C195)+(3002.85*D195)+(2983.78*E195)-(2883.79*F195)+(12790.85*G195)+(10456.51*H195)</f>
        <v>619105.18530000013</v>
      </c>
      <c r="K195">
        <f t="shared" ref="K195:K258" si="7">I195-J195</f>
        <v>-7180.9153000001097</v>
      </c>
    </row>
    <row r="196" spans="1:11">
      <c r="A196" s="3">
        <v>51056.15</v>
      </c>
      <c r="B196" s="3">
        <v>5686</v>
      </c>
      <c r="C196" s="7">
        <v>8.8999999999999996E-2</v>
      </c>
      <c r="D196" s="3">
        <v>13</v>
      </c>
      <c r="E196" s="3">
        <v>89.9</v>
      </c>
      <c r="F196" s="3">
        <v>1.28</v>
      </c>
      <c r="G196" s="3">
        <v>0</v>
      </c>
      <c r="H196" s="3">
        <v>4.2</v>
      </c>
      <c r="I196" s="3">
        <v>633494.21</v>
      </c>
      <c r="J196">
        <f t="shared" si="6"/>
        <v>656792.44014999992</v>
      </c>
      <c r="K196">
        <f t="shared" si="7"/>
        <v>-23298.230149999959</v>
      </c>
    </row>
    <row r="197" spans="1:11">
      <c r="A197" s="3">
        <v>50909.27</v>
      </c>
      <c r="B197" s="3">
        <v>3152</v>
      </c>
      <c r="C197" s="7">
        <v>0.06</v>
      </c>
      <c r="D197" s="3">
        <v>13</v>
      </c>
      <c r="E197" s="3">
        <v>93.7</v>
      </c>
      <c r="F197" s="3">
        <v>10.79</v>
      </c>
      <c r="G197" s="3">
        <v>0</v>
      </c>
      <c r="H197" s="4">
        <v>3.5</v>
      </c>
      <c r="I197" s="3">
        <v>537058.32999999996</v>
      </c>
      <c r="J197">
        <f t="shared" si="6"/>
        <v>564373.17450000008</v>
      </c>
      <c r="K197">
        <f t="shared" si="7"/>
        <v>-27314.844500000123</v>
      </c>
    </row>
    <row r="198" spans="1:11">
      <c r="A198" s="3">
        <v>50887.46</v>
      </c>
      <c r="B198" s="3">
        <v>9505</v>
      </c>
      <c r="C198" s="7">
        <v>9.0999999999999998E-2</v>
      </c>
      <c r="D198" s="3">
        <v>25</v>
      </c>
      <c r="E198" s="3">
        <v>89.7</v>
      </c>
      <c r="F198" s="3">
        <v>2.8</v>
      </c>
      <c r="G198" s="3">
        <v>0</v>
      </c>
      <c r="H198" s="3">
        <v>4.3</v>
      </c>
      <c r="I198" s="3">
        <v>812152.6</v>
      </c>
      <c r="J198">
        <f t="shared" si="6"/>
        <v>795443.01645000011</v>
      </c>
      <c r="K198">
        <f t="shared" si="7"/>
        <v>16709.583549999865</v>
      </c>
    </row>
    <row r="199" spans="1:11">
      <c r="A199" s="3">
        <v>50825.08</v>
      </c>
      <c r="B199" s="3">
        <v>8949</v>
      </c>
      <c r="C199" s="7">
        <v>0.157</v>
      </c>
      <c r="D199" s="3">
        <v>21</v>
      </c>
      <c r="E199" s="3">
        <v>84.7</v>
      </c>
      <c r="F199" s="3">
        <v>7.73</v>
      </c>
      <c r="G199" s="3">
        <v>0</v>
      </c>
      <c r="H199" s="3">
        <v>4.9000000000000004</v>
      </c>
      <c r="I199" s="3">
        <v>769702.76</v>
      </c>
      <c r="J199">
        <f t="shared" si="6"/>
        <v>740184.33724999987</v>
      </c>
      <c r="K199">
        <f t="shared" si="7"/>
        <v>29518.422750000143</v>
      </c>
    </row>
    <row r="200" spans="1:11">
      <c r="A200" s="3">
        <v>50735.63</v>
      </c>
      <c r="B200" s="3">
        <v>9619</v>
      </c>
      <c r="C200" s="7">
        <v>0.14399999999999999</v>
      </c>
      <c r="D200" s="3">
        <v>19</v>
      </c>
      <c r="E200" s="3">
        <v>93.8</v>
      </c>
      <c r="F200" s="3">
        <v>5.12</v>
      </c>
      <c r="G200" s="3">
        <v>1</v>
      </c>
      <c r="H200" s="3">
        <v>4.5</v>
      </c>
      <c r="I200" s="3">
        <v>725235.28</v>
      </c>
      <c r="J200">
        <f t="shared" si="6"/>
        <v>797049.16120000009</v>
      </c>
      <c r="K200">
        <f t="shared" si="7"/>
        <v>-71813.881200000062</v>
      </c>
    </row>
    <row r="201" spans="1:11">
      <c r="A201" s="3">
        <v>50532.17</v>
      </c>
      <c r="B201" s="3">
        <v>5689</v>
      </c>
      <c r="C201" s="7">
        <v>5.1999999999999998E-2</v>
      </c>
      <c r="D201" s="3">
        <v>17</v>
      </c>
      <c r="E201" s="3">
        <v>85.6</v>
      </c>
      <c r="F201" s="3">
        <v>6.23</v>
      </c>
      <c r="G201" s="3">
        <v>0</v>
      </c>
      <c r="H201" s="3">
        <v>3.3</v>
      </c>
      <c r="I201" s="3">
        <v>645039.97</v>
      </c>
      <c r="J201">
        <f t="shared" si="6"/>
        <v>634416.04369999992</v>
      </c>
      <c r="K201">
        <f t="shared" si="7"/>
        <v>10623.92630000005</v>
      </c>
    </row>
    <row r="202" spans="1:11">
      <c r="A202" s="3">
        <v>50517.94</v>
      </c>
      <c r="B202" s="3">
        <v>7024</v>
      </c>
      <c r="C202" s="7">
        <v>2.9000000000000001E-2</v>
      </c>
      <c r="D202" s="3">
        <v>18</v>
      </c>
      <c r="E202" s="3">
        <v>79.2</v>
      </c>
      <c r="F202" s="3">
        <v>6.61</v>
      </c>
      <c r="G202" s="3">
        <v>1</v>
      </c>
      <c r="H202" s="3">
        <v>4.0999999999999996</v>
      </c>
      <c r="I202" s="3">
        <v>711213.46</v>
      </c>
      <c r="J202">
        <f t="shared" si="6"/>
        <v>677387.78564999998</v>
      </c>
      <c r="K202">
        <f t="shared" si="7"/>
        <v>33825.674349999987</v>
      </c>
    </row>
    <row r="203" spans="1:11">
      <c r="A203" s="3">
        <v>50343.19</v>
      </c>
      <c r="B203" s="3">
        <v>3845</v>
      </c>
      <c r="C203" s="7">
        <v>0.113</v>
      </c>
      <c r="D203" s="3">
        <v>9</v>
      </c>
      <c r="E203" s="3">
        <v>88.7</v>
      </c>
      <c r="F203" s="3">
        <v>5.15</v>
      </c>
      <c r="G203" s="3">
        <v>0</v>
      </c>
      <c r="H203" s="3">
        <v>3.3</v>
      </c>
      <c r="I203" s="3">
        <v>572011.19999999995</v>
      </c>
      <c r="J203">
        <f t="shared" si="6"/>
        <v>566531.53064999997</v>
      </c>
      <c r="K203">
        <f t="shared" si="7"/>
        <v>5479.6693499999819</v>
      </c>
    </row>
    <row r="204" spans="1:11">
      <c r="A204" s="3">
        <v>50198.12</v>
      </c>
      <c r="B204" s="3">
        <v>6089</v>
      </c>
      <c r="C204" s="7">
        <v>0.182</v>
      </c>
      <c r="D204" s="3">
        <v>19</v>
      </c>
      <c r="E204" s="3">
        <v>94</v>
      </c>
      <c r="F204" s="3">
        <v>9.6999999999999993</v>
      </c>
      <c r="G204" s="3">
        <v>0</v>
      </c>
      <c r="H204" s="3">
        <v>3.9</v>
      </c>
      <c r="I204" s="3">
        <v>695098.51</v>
      </c>
      <c r="J204">
        <f t="shared" si="6"/>
        <v>663200.08089999994</v>
      </c>
      <c r="K204">
        <f t="shared" si="7"/>
        <v>31898.429100000067</v>
      </c>
    </row>
    <row r="205" spans="1:11">
      <c r="A205" s="3">
        <v>50043.65</v>
      </c>
      <c r="B205" s="3">
        <v>3804</v>
      </c>
      <c r="C205" s="7">
        <v>0.113</v>
      </c>
      <c r="D205" s="3">
        <v>11</v>
      </c>
      <c r="E205" s="3">
        <v>90.9</v>
      </c>
      <c r="F205" s="3">
        <v>2.7</v>
      </c>
      <c r="G205" s="3">
        <v>1</v>
      </c>
      <c r="H205" s="3">
        <v>3.2</v>
      </c>
      <c r="I205" s="3">
        <v>614800.09</v>
      </c>
      <c r="J205">
        <f t="shared" si="6"/>
        <v>596410.98395000002</v>
      </c>
      <c r="K205">
        <f t="shared" si="7"/>
        <v>18389.106049999944</v>
      </c>
    </row>
    <row r="206" spans="1:11">
      <c r="A206" s="3">
        <v>49710.29</v>
      </c>
      <c r="B206" s="3">
        <v>5559</v>
      </c>
      <c r="C206" s="7">
        <v>0.218</v>
      </c>
      <c r="D206" s="3">
        <v>14</v>
      </c>
      <c r="E206" s="3">
        <v>71</v>
      </c>
      <c r="F206" s="3">
        <v>9.11</v>
      </c>
      <c r="G206" s="3">
        <v>0</v>
      </c>
      <c r="H206" s="3">
        <v>4.5999999999999996</v>
      </c>
      <c r="I206" s="3">
        <v>603297.56999999995</v>
      </c>
      <c r="J206">
        <f t="shared" si="6"/>
        <v>570579.098</v>
      </c>
      <c r="K206">
        <f t="shared" si="7"/>
        <v>32718.471999999951</v>
      </c>
    </row>
    <row r="207" spans="1:11">
      <c r="A207" s="3">
        <v>49405.75</v>
      </c>
      <c r="B207" s="3">
        <v>9752</v>
      </c>
      <c r="C207" s="7">
        <v>9.2999999999999999E-2</v>
      </c>
      <c r="D207" s="3">
        <v>21</v>
      </c>
      <c r="E207" s="3">
        <v>87</v>
      </c>
      <c r="F207" s="3">
        <v>12.28</v>
      </c>
      <c r="G207" s="3">
        <v>0</v>
      </c>
      <c r="H207" s="3">
        <v>4.0999999999999996</v>
      </c>
      <c r="I207" s="3">
        <v>761963.23</v>
      </c>
      <c r="J207">
        <f t="shared" si="6"/>
        <v>750966.97774999996</v>
      </c>
      <c r="K207">
        <f t="shared" si="7"/>
        <v>10996.25225000002</v>
      </c>
    </row>
    <row r="208" spans="1:11">
      <c r="A208" s="3">
        <v>48804.22</v>
      </c>
      <c r="B208" s="3">
        <v>7057</v>
      </c>
      <c r="C208" s="7">
        <v>5.0000000000000001E-3</v>
      </c>
      <c r="D208" s="3">
        <v>15</v>
      </c>
      <c r="E208" s="3">
        <v>87.7</v>
      </c>
      <c r="F208" s="3">
        <v>1.22</v>
      </c>
      <c r="G208" s="3">
        <v>0</v>
      </c>
      <c r="H208" s="3">
        <v>3.7</v>
      </c>
      <c r="I208" s="3">
        <v>666152.52</v>
      </c>
      <c r="J208">
        <f t="shared" si="6"/>
        <v>692939.98454999994</v>
      </c>
      <c r="K208">
        <f t="shared" si="7"/>
        <v>-26787.464549999917</v>
      </c>
    </row>
    <row r="209" spans="1:11">
      <c r="A209" s="3">
        <v>48752.92</v>
      </c>
      <c r="B209" s="3">
        <v>8052</v>
      </c>
      <c r="C209" s="7">
        <v>0.106</v>
      </c>
      <c r="D209" s="3">
        <v>16</v>
      </c>
      <c r="E209" s="3">
        <v>94.9</v>
      </c>
      <c r="F209" s="3">
        <v>0.65</v>
      </c>
      <c r="G209" s="3">
        <v>0</v>
      </c>
      <c r="H209" s="3">
        <v>3.6</v>
      </c>
      <c r="I209" s="3">
        <v>660633.99</v>
      </c>
      <c r="J209">
        <f t="shared" si="6"/>
        <v>738546.03399999999</v>
      </c>
      <c r="K209">
        <f t="shared" si="7"/>
        <v>-77912.043999999994</v>
      </c>
    </row>
    <row r="210" spans="1:11">
      <c r="A210" s="3">
        <v>48609.41</v>
      </c>
      <c r="B210" s="3">
        <v>9324</v>
      </c>
      <c r="C210" s="7">
        <v>0.21299999999999999</v>
      </c>
      <c r="D210" s="3">
        <v>18</v>
      </c>
      <c r="E210" s="3">
        <v>86.5</v>
      </c>
      <c r="F210" s="3">
        <v>1.44</v>
      </c>
      <c r="G210" s="3">
        <v>0</v>
      </c>
      <c r="H210" s="3">
        <v>3.9</v>
      </c>
      <c r="I210" s="3">
        <v>756619.77</v>
      </c>
      <c r="J210">
        <f t="shared" si="6"/>
        <v>748081.29614999995</v>
      </c>
      <c r="K210">
        <f t="shared" si="7"/>
        <v>8538.4738500000676</v>
      </c>
    </row>
    <row r="211" spans="1:11">
      <c r="A211" s="3">
        <v>48465.599999999999</v>
      </c>
      <c r="B211" s="3">
        <v>5759</v>
      </c>
      <c r="C211" s="7">
        <v>0.154</v>
      </c>
      <c r="D211" s="3">
        <v>13</v>
      </c>
      <c r="E211" s="3">
        <v>87.5</v>
      </c>
      <c r="F211" s="3">
        <v>4.1399999999999997</v>
      </c>
      <c r="G211" s="3">
        <v>0</v>
      </c>
      <c r="H211" s="3">
        <v>4</v>
      </c>
      <c r="I211" s="3">
        <v>628538.30000000005</v>
      </c>
      <c r="J211">
        <f t="shared" si="6"/>
        <v>633601.65249999997</v>
      </c>
      <c r="K211">
        <f t="shared" si="7"/>
        <v>-5063.3524999999208</v>
      </c>
    </row>
    <row r="212" spans="1:11">
      <c r="A212" s="3">
        <v>48438.85</v>
      </c>
      <c r="B212" s="3">
        <v>6992</v>
      </c>
      <c r="C212" s="7">
        <v>3.4000000000000002E-2</v>
      </c>
      <c r="D212" s="3">
        <v>20</v>
      </c>
      <c r="E212" s="3">
        <v>91</v>
      </c>
      <c r="F212" s="3">
        <v>4.3600000000000003</v>
      </c>
      <c r="G212" s="3">
        <v>0</v>
      </c>
      <c r="H212" s="3">
        <v>4.2</v>
      </c>
      <c r="I212" s="3">
        <v>778298.88</v>
      </c>
      <c r="J212">
        <f t="shared" si="6"/>
        <v>709636.62769999984</v>
      </c>
      <c r="K212">
        <f t="shared" si="7"/>
        <v>68662.252300000167</v>
      </c>
    </row>
    <row r="213" spans="1:11">
      <c r="A213" s="3">
        <v>48412.639999999999</v>
      </c>
      <c r="B213" s="3">
        <v>9545</v>
      </c>
      <c r="C213" s="7">
        <v>0.23100000000000001</v>
      </c>
      <c r="D213" s="3">
        <v>21</v>
      </c>
      <c r="E213" s="3">
        <v>97.6</v>
      </c>
      <c r="F213" s="3">
        <v>6.94</v>
      </c>
      <c r="G213" s="3">
        <v>1</v>
      </c>
      <c r="H213" s="3">
        <v>4.2</v>
      </c>
      <c r="I213" s="3">
        <v>741341.44</v>
      </c>
      <c r="J213">
        <f t="shared" si="6"/>
        <v>794935.14024999994</v>
      </c>
      <c r="K213">
        <f t="shared" si="7"/>
        <v>-53593.700249999994</v>
      </c>
    </row>
    <row r="214" spans="1:11">
      <c r="A214" s="3">
        <v>48396.13</v>
      </c>
      <c r="B214" s="3">
        <v>4423</v>
      </c>
      <c r="C214" s="7">
        <v>6.9000000000000006E-2</v>
      </c>
      <c r="D214" s="3">
        <v>15</v>
      </c>
      <c r="E214" s="3">
        <v>85.7</v>
      </c>
      <c r="F214" s="3">
        <v>1.88</v>
      </c>
      <c r="G214" s="3">
        <v>0</v>
      </c>
      <c r="H214" s="3">
        <v>3.9</v>
      </c>
      <c r="I214" s="3">
        <v>557487.26</v>
      </c>
      <c r="J214">
        <f t="shared" si="6"/>
        <v>608347.98054999998</v>
      </c>
      <c r="K214">
        <f t="shared" si="7"/>
        <v>-50860.720549999969</v>
      </c>
    </row>
    <row r="215" spans="1:11">
      <c r="A215" s="3">
        <v>48287.85</v>
      </c>
      <c r="B215" s="3">
        <v>5150</v>
      </c>
      <c r="C215" s="7">
        <v>8.0000000000000002E-3</v>
      </c>
      <c r="D215" s="3">
        <v>12</v>
      </c>
      <c r="E215" s="3">
        <v>80.400000000000006</v>
      </c>
      <c r="F215" s="3">
        <v>7.4</v>
      </c>
      <c r="G215" s="3">
        <v>0</v>
      </c>
      <c r="H215" s="3">
        <v>4.5</v>
      </c>
      <c r="I215" s="3">
        <v>625672.86</v>
      </c>
      <c r="J215">
        <f t="shared" si="6"/>
        <v>598491.10920000006</v>
      </c>
      <c r="K215">
        <f t="shared" si="7"/>
        <v>27181.750799999922</v>
      </c>
    </row>
    <row r="216" spans="1:11">
      <c r="A216" s="3">
        <v>48060.78</v>
      </c>
      <c r="B216" s="3">
        <v>8733</v>
      </c>
      <c r="C216" s="7">
        <v>0</v>
      </c>
      <c r="D216" s="3">
        <v>20</v>
      </c>
      <c r="E216" s="3">
        <v>89.9</v>
      </c>
      <c r="F216" s="3">
        <v>0.8</v>
      </c>
      <c r="G216" s="3">
        <v>0</v>
      </c>
      <c r="H216" s="3">
        <v>3.4</v>
      </c>
      <c r="I216" s="3">
        <v>750471.34</v>
      </c>
      <c r="J216">
        <f t="shared" si="6"/>
        <v>758986.55440000002</v>
      </c>
      <c r="K216">
        <f t="shared" si="7"/>
        <v>-8515.2144000000553</v>
      </c>
    </row>
    <row r="217" spans="1:11">
      <c r="A217" s="3">
        <v>48031.74</v>
      </c>
      <c r="B217" s="3">
        <v>6516</v>
      </c>
      <c r="C217" s="7">
        <v>6.7000000000000004E-2</v>
      </c>
      <c r="D217" s="3">
        <v>14</v>
      </c>
      <c r="E217" s="3">
        <v>99</v>
      </c>
      <c r="F217" s="3">
        <v>0.48</v>
      </c>
      <c r="G217" s="3">
        <v>1</v>
      </c>
      <c r="H217" s="3">
        <v>4.3</v>
      </c>
      <c r="I217" s="3">
        <v>765906.95</v>
      </c>
      <c r="J217">
        <f t="shared" si="6"/>
        <v>724337.16804999998</v>
      </c>
      <c r="K217">
        <f t="shared" si="7"/>
        <v>41569.781949999975</v>
      </c>
    </row>
    <row r="218" spans="1:11">
      <c r="A218" s="3">
        <v>47944.14</v>
      </c>
      <c r="B218" s="3">
        <v>6169</v>
      </c>
      <c r="C218" s="7">
        <v>0.11899999999999999</v>
      </c>
      <c r="D218" s="3">
        <v>17</v>
      </c>
      <c r="E218" s="3">
        <v>92.2</v>
      </c>
      <c r="F218" s="3">
        <v>3.02</v>
      </c>
      <c r="G218" s="3">
        <v>0</v>
      </c>
      <c r="H218" s="3">
        <v>4.0999999999999996</v>
      </c>
      <c r="I218" s="3">
        <v>670629.48</v>
      </c>
      <c r="J218">
        <f t="shared" si="6"/>
        <v>677291.38124999998</v>
      </c>
      <c r="K218">
        <f t="shared" si="7"/>
        <v>-6661.9012499999953</v>
      </c>
    </row>
    <row r="219" spans="1:11">
      <c r="A219" s="3">
        <v>47648.71</v>
      </c>
      <c r="B219" s="3">
        <v>5767</v>
      </c>
      <c r="C219" s="7">
        <v>0.14099999999999999</v>
      </c>
      <c r="D219" s="3">
        <v>17</v>
      </c>
      <c r="E219" s="3">
        <v>89.8</v>
      </c>
      <c r="F219" s="3">
        <v>1.76</v>
      </c>
      <c r="G219" s="3">
        <v>0</v>
      </c>
      <c r="H219" s="3">
        <v>3.1</v>
      </c>
      <c r="I219" s="3">
        <v>635837.74</v>
      </c>
      <c r="J219">
        <f t="shared" si="6"/>
        <v>650123.73654999991</v>
      </c>
      <c r="K219">
        <f t="shared" si="7"/>
        <v>-14285.996549999923</v>
      </c>
    </row>
    <row r="220" spans="1:11">
      <c r="A220" s="3">
        <v>47391.09</v>
      </c>
      <c r="B220" s="3">
        <v>11224</v>
      </c>
      <c r="C220" s="7">
        <v>0.14699999999999999</v>
      </c>
      <c r="D220" s="3">
        <v>25</v>
      </c>
      <c r="E220" s="3">
        <v>88.4</v>
      </c>
      <c r="F220" s="3">
        <v>2.44</v>
      </c>
      <c r="G220" s="3">
        <v>0</v>
      </c>
      <c r="H220" s="3">
        <v>4.9000000000000004</v>
      </c>
      <c r="I220" s="3">
        <v>836908.24</v>
      </c>
      <c r="J220">
        <f t="shared" si="6"/>
        <v>838835.68265000021</v>
      </c>
      <c r="K220">
        <f t="shared" si="7"/>
        <v>-1927.4426500002155</v>
      </c>
    </row>
    <row r="221" spans="1:11">
      <c r="A221" s="3">
        <v>47241.919999999998</v>
      </c>
      <c r="B221" s="3">
        <v>4264</v>
      </c>
      <c r="C221" s="7">
        <v>6.9000000000000006E-2</v>
      </c>
      <c r="D221" s="3">
        <v>13</v>
      </c>
      <c r="E221" s="3">
        <v>95.3</v>
      </c>
      <c r="F221" s="3">
        <v>0.85</v>
      </c>
      <c r="G221" s="3">
        <v>0</v>
      </c>
      <c r="H221" s="3">
        <v>4.3</v>
      </c>
      <c r="I221" s="3">
        <v>658072.14</v>
      </c>
      <c r="J221">
        <f t="shared" si="6"/>
        <v>632327.09844999993</v>
      </c>
      <c r="K221">
        <f t="shared" si="7"/>
        <v>25745.041550000082</v>
      </c>
    </row>
    <row r="222" spans="1:11">
      <c r="A222" s="3">
        <v>47093.55</v>
      </c>
      <c r="B222" s="3">
        <v>5550</v>
      </c>
      <c r="C222" s="7">
        <v>0.1</v>
      </c>
      <c r="D222" s="3">
        <v>12</v>
      </c>
      <c r="E222" s="3">
        <v>95</v>
      </c>
      <c r="F222" s="3">
        <v>2.33</v>
      </c>
      <c r="G222" s="3">
        <v>1</v>
      </c>
      <c r="H222" s="3">
        <v>3.7</v>
      </c>
      <c r="I222" s="3">
        <v>696744.15</v>
      </c>
      <c r="J222">
        <f t="shared" si="6"/>
        <v>664267.45030000014</v>
      </c>
      <c r="K222">
        <f t="shared" si="7"/>
        <v>32476.699699999881</v>
      </c>
    </row>
    <row r="223" spans="1:11">
      <c r="A223" s="3">
        <v>46767.99</v>
      </c>
      <c r="B223" s="3">
        <v>7973</v>
      </c>
      <c r="C223" s="7">
        <v>0.183</v>
      </c>
      <c r="D223" s="3">
        <v>18</v>
      </c>
      <c r="E223" s="3">
        <v>94.8</v>
      </c>
      <c r="F223" s="3">
        <v>4.67</v>
      </c>
      <c r="G223" s="3">
        <v>0</v>
      </c>
      <c r="H223" s="3">
        <v>3.92</v>
      </c>
      <c r="I223" s="3">
        <v>688368.46</v>
      </c>
      <c r="J223">
        <f t="shared" si="6"/>
        <v>725912.49855000002</v>
      </c>
      <c r="K223">
        <f t="shared" si="7"/>
        <v>-37544.038550000056</v>
      </c>
    </row>
    <row r="224" spans="1:11">
      <c r="A224" s="3">
        <v>46624.05</v>
      </c>
      <c r="B224" s="3">
        <v>5104</v>
      </c>
      <c r="C224" s="7">
        <v>0.109</v>
      </c>
      <c r="D224" s="3">
        <v>11</v>
      </c>
      <c r="E224" s="3">
        <v>97.3</v>
      </c>
      <c r="F224" s="3">
        <v>3.49</v>
      </c>
      <c r="G224" s="3">
        <v>1</v>
      </c>
      <c r="H224" s="3">
        <v>4.7</v>
      </c>
      <c r="I224" s="3">
        <v>622811.74</v>
      </c>
      <c r="J224">
        <f t="shared" si="6"/>
        <v>661553.44625000004</v>
      </c>
      <c r="K224">
        <f t="shared" si="7"/>
        <v>-38741.706250000047</v>
      </c>
    </row>
    <row r="225" spans="1:11">
      <c r="A225" s="3">
        <v>46495.4</v>
      </c>
      <c r="B225" s="3">
        <v>9908</v>
      </c>
      <c r="C225" s="7">
        <v>0.121</v>
      </c>
      <c r="D225" s="3">
        <v>22</v>
      </c>
      <c r="E225" s="3">
        <v>89.4</v>
      </c>
      <c r="F225" s="3">
        <v>3.22</v>
      </c>
      <c r="G225" s="3">
        <v>0</v>
      </c>
      <c r="H225" s="3">
        <v>3.7</v>
      </c>
      <c r="I225" s="3">
        <v>721079.35</v>
      </c>
      <c r="J225">
        <f t="shared" si="6"/>
        <v>781992.86834999989</v>
      </c>
      <c r="K225">
        <f t="shared" si="7"/>
        <v>-60913.518349999911</v>
      </c>
    </row>
    <row r="226" spans="1:11">
      <c r="A226" s="3">
        <v>46213.45</v>
      </c>
      <c r="B226" s="3">
        <v>10616</v>
      </c>
      <c r="C226" s="7">
        <v>0.122</v>
      </c>
      <c r="D226" s="3">
        <v>22</v>
      </c>
      <c r="E226" s="3">
        <v>85.2</v>
      </c>
      <c r="F226" s="3">
        <v>0.2</v>
      </c>
      <c r="G226" s="3">
        <v>1</v>
      </c>
      <c r="H226" s="3">
        <v>4.0999999999999996</v>
      </c>
      <c r="I226" s="3">
        <v>806615.54</v>
      </c>
      <c r="J226">
        <f t="shared" si="6"/>
        <v>814555.75429999991</v>
      </c>
      <c r="K226">
        <f t="shared" si="7"/>
        <v>-7940.2142999998759</v>
      </c>
    </row>
    <row r="227" spans="1:11">
      <c r="A227" s="3">
        <v>46201.46</v>
      </c>
      <c r="B227" s="3">
        <v>5918</v>
      </c>
      <c r="C227" s="7">
        <v>0.27700000000000002</v>
      </c>
      <c r="D227" s="3">
        <v>13</v>
      </c>
      <c r="E227" s="3">
        <v>78.8</v>
      </c>
      <c r="F227" s="3">
        <v>4.91</v>
      </c>
      <c r="G227" s="3">
        <v>0</v>
      </c>
      <c r="H227" s="3">
        <v>4.5</v>
      </c>
      <c r="I227" s="3">
        <v>616069.41</v>
      </c>
      <c r="J227">
        <f t="shared" si="6"/>
        <v>603578.53544999997</v>
      </c>
      <c r="K227">
        <f t="shared" si="7"/>
        <v>12490.874550000066</v>
      </c>
    </row>
    <row r="228" spans="1:11">
      <c r="A228" s="3">
        <v>46174.7</v>
      </c>
      <c r="B228" s="3">
        <v>4898</v>
      </c>
      <c r="C228" s="7">
        <v>0.114</v>
      </c>
      <c r="D228" s="3">
        <v>11</v>
      </c>
      <c r="E228" s="3">
        <v>91.7</v>
      </c>
      <c r="F228" s="3">
        <v>3.75</v>
      </c>
      <c r="G228" s="3">
        <v>0</v>
      </c>
      <c r="H228" s="3">
        <v>3.1</v>
      </c>
      <c r="I228" s="3">
        <v>599017.32999999996</v>
      </c>
      <c r="J228">
        <f t="shared" si="6"/>
        <v>607917.2696</v>
      </c>
      <c r="K228">
        <f t="shared" si="7"/>
        <v>-8899.9396000000415</v>
      </c>
    </row>
    <row r="229" spans="1:11">
      <c r="A229" s="3">
        <v>46146.239999999998</v>
      </c>
      <c r="B229" s="3">
        <v>5804</v>
      </c>
      <c r="C229" s="7">
        <v>4.7E-2</v>
      </c>
      <c r="D229" s="3">
        <v>16</v>
      </c>
      <c r="E229" s="3">
        <v>86.9</v>
      </c>
      <c r="F229" s="3">
        <v>15.82</v>
      </c>
      <c r="G229" s="3">
        <v>0</v>
      </c>
      <c r="H229" s="4">
        <v>3.8</v>
      </c>
      <c r="I229" s="3">
        <v>538376</v>
      </c>
      <c r="J229">
        <f t="shared" si="6"/>
        <v>611268.05345000012</v>
      </c>
      <c r="K229">
        <f t="shared" si="7"/>
        <v>-72892.053450000123</v>
      </c>
    </row>
    <row r="230" spans="1:11">
      <c r="A230" s="3">
        <v>46123.88</v>
      </c>
      <c r="B230" s="3">
        <v>3227</v>
      </c>
      <c r="C230" s="7">
        <v>0.14299999999999999</v>
      </c>
      <c r="D230" s="3">
        <v>10</v>
      </c>
      <c r="E230" s="3">
        <v>75.400000000000006</v>
      </c>
      <c r="F230" s="3">
        <v>1.06</v>
      </c>
      <c r="G230" s="3">
        <v>0</v>
      </c>
      <c r="H230" s="3">
        <v>4.4000000000000004</v>
      </c>
      <c r="I230" s="3">
        <v>532644.46</v>
      </c>
      <c r="J230">
        <f t="shared" si="6"/>
        <v>528711.65745000006</v>
      </c>
      <c r="K230">
        <f t="shared" si="7"/>
        <v>3932.8025499999058</v>
      </c>
    </row>
    <row r="231" spans="1:11">
      <c r="A231" s="3">
        <v>45940.39</v>
      </c>
      <c r="B231" s="3">
        <v>4022</v>
      </c>
      <c r="C231" s="7">
        <v>6.9000000000000006E-2</v>
      </c>
      <c r="D231" s="3">
        <v>10</v>
      </c>
      <c r="E231" s="3">
        <v>83</v>
      </c>
      <c r="F231" s="3">
        <v>1.23</v>
      </c>
      <c r="G231" s="3">
        <v>1</v>
      </c>
      <c r="H231" s="3">
        <v>3.8</v>
      </c>
      <c r="I231" s="3">
        <v>524899.56999999995</v>
      </c>
      <c r="J231">
        <f t="shared" si="6"/>
        <v>584775.42385000002</v>
      </c>
      <c r="K231">
        <f t="shared" si="7"/>
        <v>-59875.853850000072</v>
      </c>
    </row>
    <row r="232" spans="1:11">
      <c r="A232" s="3">
        <v>45706.49</v>
      </c>
      <c r="B232" s="3">
        <v>6704</v>
      </c>
      <c r="C232" s="7">
        <v>3.7999999999999999E-2</v>
      </c>
      <c r="D232" s="3">
        <v>15</v>
      </c>
      <c r="E232" s="3">
        <v>94.2</v>
      </c>
      <c r="F232" s="3">
        <v>2.92</v>
      </c>
      <c r="G232" s="3">
        <v>0</v>
      </c>
      <c r="H232" s="3">
        <v>4.2</v>
      </c>
      <c r="I232" s="3">
        <v>715097.57</v>
      </c>
      <c r="J232">
        <f t="shared" si="6"/>
        <v>696749.9990999999</v>
      </c>
      <c r="K232">
        <f t="shared" si="7"/>
        <v>18347.57090000005</v>
      </c>
    </row>
    <row r="233" spans="1:11">
      <c r="A233" s="3">
        <v>45209.25</v>
      </c>
      <c r="B233" s="3">
        <v>9287</v>
      </c>
      <c r="C233" s="7">
        <v>0.14099999999999999</v>
      </c>
      <c r="D233" s="3">
        <v>22</v>
      </c>
      <c r="E233" s="3">
        <v>86.4</v>
      </c>
      <c r="F233" s="4">
        <v>13.22</v>
      </c>
      <c r="G233" s="3">
        <v>0</v>
      </c>
      <c r="H233" s="3">
        <v>3.6</v>
      </c>
      <c r="I233" s="3">
        <v>751393.88</v>
      </c>
      <c r="J233">
        <f t="shared" si="6"/>
        <v>722819.39335000003</v>
      </c>
      <c r="K233">
        <f t="shared" si="7"/>
        <v>28574.486649999977</v>
      </c>
    </row>
    <row r="234" spans="1:11">
      <c r="A234" s="3">
        <v>44970.080000000002</v>
      </c>
      <c r="B234" s="3">
        <v>2471</v>
      </c>
      <c r="C234" s="7">
        <v>0.13600000000000001</v>
      </c>
      <c r="D234" s="3">
        <v>11</v>
      </c>
      <c r="E234" s="3">
        <v>87.6</v>
      </c>
      <c r="F234" s="3">
        <v>3.01</v>
      </c>
      <c r="G234" s="3">
        <v>1</v>
      </c>
      <c r="H234" s="3">
        <v>3.7</v>
      </c>
      <c r="I234" s="3">
        <v>500173.02</v>
      </c>
      <c r="J234">
        <f t="shared" si="6"/>
        <v>545946.29989999998</v>
      </c>
      <c r="K234">
        <f t="shared" si="7"/>
        <v>-45773.279899999965</v>
      </c>
    </row>
    <row r="235" spans="1:11">
      <c r="A235" s="3">
        <v>44747</v>
      </c>
      <c r="B235" s="3">
        <v>11076</v>
      </c>
      <c r="C235" s="7">
        <v>0.17599999999999999</v>
      </c>
      <c r="D235" s="3">
        <v>27</v>
      </c>
      <c r="E235" s="3">
        <v>98.3</v>
      </c>
      <c r="F235" s="3">
        <v>0.54</v>
      </c>
      <c r="G235" s="3">
        <v>0</v>
      </c>
      <c r="H235" s="3">
        <v>4.4000000000000004</v>
      </c>
      <c r="I235" s="3">
        <v>842439.67</v>
      </c>
      <c r="J235">
        <f t="shared" si="6"/>
        <v>865282.4558</v>
      </c>
      <c r="K235">
        <f t="shared" si="7"/>
        <v>-22842.785799999954</v>
      </c>
    </row>
    <row r="236" spans="1:11">
      <c r="A236" s="3">
        <v>44211.95</v>
      </c>
      <c r="B236" s="3">
        <v>5465</v>
      </c>
      <c r="C236" s="7">
        <v>0.187</v>
      </c>
      <c r="D236" s="3">
        <v>12</v>
      </c>
      <c r="E236" s="3">
        <v>90</v>
      </c>
      <c r="F236" s="3">
        <v>2.89</v>
      </c>
      <c r="G236" s="3">
        <v>0</v>
      </c>
      <c r="H236" s="3">
        <v>3.6</v>
      </c>
      <c r="I236" s="3">
        <v>646559.71</v>
      </c>
      <c r="J236">
        <f t="shared" si="6"/>
        <v>621857.44295000006</v>
      </c>
      <c r="K236">
        <f t="shared" si="7"/>
        <v>24702.267049999908</v>
      </c>
    </row>
    <row r="237" spans="1:11">
      <c r="A237" s="3">
        <v>44189.34</v>
      </c>
      <c r="B237" s="3">
        <v>8634</v>
      </c>
      <c r="C237" s="7">
        <v>0.14299999999999999</v>
      </c>
      <c r="D237" s="3">
        <v>19</v>
      </c>
      <c r="E237" s="3">
        <v>87.5</v>
      </c>
      <c r="F237" s="3">
        <v>3.69</v>
      </c>
      <c r="G237" s="3">
        <v>0</v>
      </c>
      <c r="H237" s="3">
        <v>4.4000000000000004</v>
      </c>
      <c r="I237" s="3">
        <v>746115.59</v>
      </c>
      <c r="J237">
        <f t="shared" si="6"/>
        <v>733315.85054999997</v>
      </c>
      <c r="K237">
        <f t="shared" si="7"/>
        <v>12799.739449999994</v>
      </c>
    </row>
    <row r="238" spans="1:11">
      <c r="A238" s="3">
        <v>44034.6</v>
      </c>
      <c r="B238" s="3">
        <v>5645</v>
      </c>
      <c r="C238" s="7">
        <v>6.9000000000000006E-2</v>
      </c>
      <c r="D238" s="3">
        <v>18</v>
      </c>
      <c r="E238" s="3">
        <v>88.5</v>
      </c>
      <c r="F238" s="3">
        <v>3.07</v>
      </c>
      <c r="G238" s="3">
        <v>0</v>
      </c>
      <c r="H238" s="3">
        <v>3.8</v>
      </c>
      <c r="I238" s="3">
        <v>682639.28</v>
      </c>
      <c r="J238">
        <f t="shared" si="6"/>
        <v>650290.9280500001</v>
      </c>
      <c r="K238">
        <f t="shared" si="7"/>
        <v>32348.351949999924</v>
      </c>
    </row>
    <row r="239" spans="1:11">
      <c r="A239" s="3">
        <v>43896.13</v>
      </c>
      <c r="B239" s="3">
        <v>3853</v>
      </c>
      <c r="C239" s="7">
        <v>8.7999999999999995E-2</v>
      </c>
      <c r="D239" s="3">
        <v>13</v>
      </c>
      <c r="E239" s="3">
        <v>83</v>
      </c>
      <c r="F239" s="3">
        <v>6.8</v>
      </c>
      <c r="G239" s="3">
        <v>0</v>
      </c>
      <c r="H239" s="3">
        <v>4.4000000000000004</v>
      </c>
      <c r="I239" s="3">
        <v>509484.81</v>
      </c>
      <c r="J239">
        <f t="shared" si="6"/>
        <v>562694.60259999998</v>
      </c>
      <c r="K239">
        <f t="shared" si="7"/>
        <v>-53209.792599999986</v>
      </c>
    </row>
    <row r="240" spans="1:11">
      <c r="A240" s="3">
        <v>43827.89</v>
      </c>
      <c r="B240" s="3">
        <v>8487</v>
      </c>
      <c r="C240" s="7">
        <v>0.16800000000000001</v>
      </c>
      <c r="D240" s="3">
        <v>23</v>
      </c>
      <c r="E240" s="3">
        <v>84.4</v>
      </c>
      <c r="F240" s="3">
        <v>4.3099999999999996</v>
      </c>
      <c r="G240" s="3">
        <v>0</v>
      </c>
      <c r="H240" s="3">
        <v>2.8</v>
      </c>
      <c r="I240" s="3">
        <v>634436</v>
      </c>
      <c r="J240">
        <f t="shared" si="6"/>
        <v>711219.20450000011</v>
      </c>
      <c r="K240">
        <f t="shared" si="7"/>
        <v>-76783.204500000109</v>
      </c>
    </row>
    <row r="241" spans="1:11">
      <c r="A241" s="3">
        <v>43685.14</v>
      </c>
      <c r="B241" s="3">
        <v>7821</v>
      </c>
      <c r="C241" s="7">
        <v>0.19</v>
      </c>
      <c r="D241" s="3">
        <v>17</v>
      </c>
      <c r="E241" s="3">
        <v>91</v>
      </c>
      <c r="F241" s="3">
        <v>2.4900000000000002</v>
      </c>
      <c r="G241" s="3">
        <v>1</v>
      </c>
      <c r="H241" s="3">
        <v>4.7</v>
      </c>
      <c r="I241" s="3">
        <v>714942.43</v>
      </c>
      <c r="J241">
        <f t="shared" si="6"/>
        <v>730408.93359999999</v>
      </c>
      <c r="K241">
        <f t="shared" si="7"/>
        <v>-15466.503599999938</v>
      </c>
    </row>
    <row r="242" spans="1:11">
      <c r="A242" s="3">
        <v>43645.98</v>
      </c>
      <c r="B242" s="3">
        <v>9480</v>
      </c>
      <c r="C242" s="7">
        <v>0.109</v>
      </c>
      <c r="D242" s="3">
        <v>22</v>
      </c>
      <c r="E242" s="3">
        <v>89</v>
      </c>
      <c r="F242" s="3">
        <v>2.11</v>
      </c>
      <c r="G242" s="3">
        <v>0</v>
      </c>
      <c r="H242" s="3">
        <v>3.1</v>
      </c>
      <c r="I242" s="3">
        <v>721364.11</v>
      </c>
      <c r="J242">
        <f t="shared" si="6"/>
        <v>763247.90385000012</v>
      </c>
      <c r="K242">
        <f t="shared" si="7"/>
        <v>-41883.793850000133</v>
      </c>
    </row>
    <row r="243" spans="1:11">
      <c r="A243" s="3">
        <v>43319.94</v>
      </c>
      <c r="B243" s="3">
        <v>6551</v>
      </c>
      <c r="C243" s="7">
        <v>4.3999999999999997E-2</v>
      </c>
      <c r="D243" s="3">
        <v>13</v>
      </c>
      <c r="E243" s="3">
        <v>99</v>
      </c>
      <c r="F243" s="3">
        <v>5.45</v>
      </c>
      <c r="G243" s="3">
        <v>0</v>
      </c>
      <c r="H243" s="3">
        <v>4.0999999999999996</v>
      </c>
      <c r="I243" s="3">
        <v>712868.35</v>
      </c>
      <c r="J243">
        <f t="shared" si="6"/>
        <v>689194.46329999994</v>
      </c>
      <c r="K243">
        <f t="shared" si="7"/>
        <v>23673.886700000032</v>
      </c>
    </row>
    <row r="244" spans="1:11">
      <c r="A244" s="3">
        <v>43288.2</v>
      </c>
      <c r="B244" s="3">
        <v>4783</v>
      </c>
      <c r="C244" s="7">
        <v>0.16900000000000001</v>
      </c>
      <c r="D244" s="3">
        <v>13</v>
      </c>
      <c r="E244" s="3">
        <v>87.3</v>
      </c>
      <c r="F244" s="3">
        <v>4.55</v>
      </c>
      <c r="G244" s="3">
        <v>0</v>
      </c>
      <c r="H244" s="3">
        <v>4.2</v>
      </c>
      <c r="I244" s="3">
        <v>605751.32999999996</v>
      </c>
      <c r="J244">
        <f t="shared" si="6"/>
        <v>599406.91984999995</v>
      </c>
      <c r="K244">
        <f t="shared" si="7"/>
        <v>6344.4101500000106</v>
      </c>
    </row>
    <row r="245" spans="1:11">
      <c r="A245" s="3">
        <v>42932.02</v>
      </c>
      <c r="B245" s="3">
        <v>3872</v>
      </c>
      <c r="C245" s="7">
        <v>0.17100000000000001</v>
      </c>
      <c r="D245" s="3">
        <v>12</v>
      </c>
      <c r="E245" s="3">
        <v>83.2</v>
      </c>
      <c r="F245" s="3">
        <v>15.58</v>
      </c>
      <c r="G245" s="3">
        <v>0</v>
      </c>
      <c r="H245" s="3">
        <v>3.3</v>
      </c>
      <c r="I245" s="3">
        <v>527681.56000000006</v>
      </c>
      <c r="J245">
        <f t="shared" si="6"/>
        <v>516888.41305000009</v>
      </c>
      <c r="K245">
        <f t="shared" si="7"/>
        <v>10793.146949999966</v>
      </c>
    </row>
    <row r="246" spans="1:11">
      <c r="A246" s="3">
        <v>42698.14</v>
      </c>
      <c r="B246" s="3">
        <v>7693</v>
      </c>
      <c r="C246" s="7">
        <v>0.187</v>
      </c>
      <c r="D246" s="3">
        <v>19</v>
      </c>
      <c r="E246" s="3">
        <v>90.1</v>
      </c>
      <c r="F246" s="3">
        <v>0.44</v>
      </c>
      <c r="G246" s="3">
        <v>0</v>
      </c>
      <c r="H246" s="3">
        <v>4.4000000000000004</v>
      </c>
      <c r="I246" s="3">
        <v>702318.94</v>
      </c>
      <c r="J246">
        <f t="shared" si="6"/>
        <v>719181.68865000003</v>
      </c>
      <c r="K246">
        <f t="shared" si="7"/>
        <v>-16862.748650000081</v>
      </c>
    </row>
    <row r="247" spans="1:11">
      <c r="A247" s="3">
        <v>42415.47</v>
      </c>
      <c r="B247" s="3">
        <v>8512</v>
      </c>
      <c r="C247" s="7">
        <v>0.13300000000000001</v>
      </c>
      <c r="D247" s="3">
        <v>18</v>
      </c>
      <c r="E247" s="3">
        <v>96.8</v>
      </c>
      <c r="F247" s="3">
        <v>14.95</v>
      </c>
      <c r="G247" s="3">
        <v>0</v>
      </c>
      <c r="H247" s="3">
        <v>4.5999999999999996</v>
      </c>
      <c r="I247" s="3">
        <v>684217.32</v>
      </c>
      <c r="J247">
        <f t="shared" si="6"/>
        <v>722893.60305000003</v>
      </c>
      <c r="K247">
        <f t="shared" si="7"/>
        <v>-38676.283050000085</v>
      </c>
    </row>
    <row r="248" spans="1:11">
      <c r="A248" s="3">
        <v>42267.37</v>
      </c>
      <c r="B248" s="3">
        <v>3364</v>
      </c>
      <c r="C248" s="7">
        <v>0.16</v>
      </c>
      <c r="D248" s="3">
        <v>13</v>
      </c>
      <c r="E248" s="3">
        <v>82</v>
      </c>
      <c r="F248" s="3">
        <v>1.61</v>
      </c>
      <c r="G248" s="3">
        <v>1</v>
      </c>
      <c r="H248" s="3">
        <v>4.5999999999999996</v>
      </c>
      <c r="I248" s="3">
        <v>555929.4</v>
      </c>
      <c r="J248">
        <f t="shared" si="6"/>
        <v>568769.90470000007</v>
      </c>
      <c r="K248">
        <f t="shared" si="7"/>
        <v>-12840.504700000049</v>
      </c>
    </row>
    <row r="249" spans="1:11">
      <c r="A249" s="3">
        <v>42093.84</v>
      </c>
      <c r="B249" s="3">
        <v>4074</v>
      </c>
      <c r="C249" s="7">
        <v>0.155</v>
      </c>
      <c r="D249" s="3">
        <v>15</v>
      </c>
      <c r="E249" s="3">
        <v>88</v>
      </c>
      <c r="F249" s="3">
        <v>9.64</v>
      </c>
      <c r="G249" s="3">
        <v>0</v>
      </c>
      <c r="H249" s="3">
        <v>3.3</v>
      </c>
      <c r="I249" s="3">
        <v>585365.73</v>
      </c>
      <c r="J249">
        <f t="shared" si="6"/>
        <v>563165.05685000005</v>
      </c>
      <c r="K249">
        <f t="shared" si="7"/>
        <v>22200.67314999993</v>
      </c>
    </row>
    <row r="250" spans="1:11">
      <c r="A250" s="3">
        <v>42018.400000000001</v>
      </c>
      <c r="B250" s="3">
        <v>8296</v>
      </c>
      <c r="C250" s="7">
        <v>0.115</v>
      </c>
      <c r="D250" s="3">
        <v>17</v>
      </c>
      <c r="E250" s="3">
        <v>91.8</v>
      </c>
      <c r="F250" s="4">
        <v>0.77</v>
      </c>
      <c r="G250" s="3">
        <v>0</v>
      </c>
      <c r="H250" s="3">
        <v>3.4</v>
      </c>
      <c r="I250" s="3">
        <v>740496.65</v>
      </c>
      <c r="J250">
        <f t="shared" si="6"/>
        <v>728097.02394999994</v>
      </c>
      <c r="K250">
        <f t="shared" si="7"/>
        <v>12399.626050000079</v>
      </c>
    </row>
    <row r="251" spans="1:11">
      <c r="A251" s="3">
        <v>41863.08</v>
      </c>
      <c r="B251" s="3">
        <v>5400</v>
      </c>
      <c r="C251" s="7">
        <v>0.114</v>
      </c>
      <c r="D251" s="3">
        <v>11</v>
      </c>
      <c r="E251" s="3">
        <v>91.6</v>
      </c>
      <c r="F251" s="3">
        <v>7.99</v>
      </c>
      <c r="G251" s="3">
        <v>0</v>
      </c>
      <c r="H251" s="3">
        <v>3</v>
      </c>
      <c r="I251" s="3">
        <v>602002.31999999995</v>
      </c>
      <c r="J251">
        <f t="shared" si="6"/>
        <v>603309.23939999996</v>
      </c>
      <c r="K251">
        <f t="shared" si="7"/>
        <v>-1306.9194000000134</v>
      </c>
    </row>
    <row r="252" spans="1:11">
      <c r="A252" s="3">
        <v>41819.449999999997</v>
      </c>
      <c r="B252" s="3">
        <v>9412</v>
      </c>
      <c r="C252" s="7">
        <v>0.15</v>
      </c>
      <c r="D252" s="3">
        <v>22</v>
      </c>
      <c r="E252" s="3">
        <v>91</v>
      </c>
      <c r="F252" s="3">
        <v>3.67</v>
      </c>
      <c r="G252" s="3">
        <v>0</v>
      </c>
      <c r="H252" s="3">
        <v>4.2</v>
      </c>
      <c r="I252" s="3">
        <v>804975.5</v>
      </c>
      <c r="J252">
        <f t="shared" si="6"/>
        <v>769210.05619999999</v>
      </c>
      <c r="K252">
        <f t="shared" si="7"/>
        <v>35765.443800000008</v>
      </c>
    </row>
    <row r="253" spans="1:11">
      <c r="A253" s="3">
        <v>41657.64</v>
      </c>
      <c r="B253" s="3">
        <v>3135</v>
      </c>
      <c r="C253" s="7">
        <v>0.22900000000000001</v>
      </c>
      <c r="D253" s="3">
        <v>7</v>
      </c>
      <c r="E253" s="3">
        <v>85.4</v>
      </c>
      <c r="F253" s="3">
        <v>13.48</v>
      </c>
      <c r="G253" s="3">
        <v>0</v>
      </c>
      <c r="H253" s="3">
        <v>3.92</v>
      </c>
      <c r="I253" s="3">
        <v>449465.06</v>
      </c>
      <c r="J253">
        <f t="shared" si="6"/>
        <v>494671.57855000003</v>
      </c>
      <c r="K253">
        <f t="shared" si="7"/>
        <v>-45206.518550000037</v>
      </c>
    </row>
    <row r="254" spans="1:11">
      <c r="A254" s="3">
        <v>41443.410000000003</v>
      </c>
      <c r="B254" s="3">
        <v>7455</v>
      </c>
      <c r="C254" s="7">
        <v>0.17499999999999999</v>
      </c>
      <c r="D254" s="3">
        <v>16</v>
      </c>
      <c r="E254" s="3">
        <v>90.1</v>
      </c>
      <c r="F254" s="3">
        <v>4.05</v>
      </c>
      <c r="G254" s="3">
        <v>0</v>
      </c>
      <c r="H254" s="3">
        <v>4</v>
      </c>
      <c r="I254" s="3">
        <v>650480.06000000006</v>
      </c>
      <c r="J254">
        <f t="shared" si="6"/>
        <v>688301.33354999998</v>
      </c>
      <c r="K254">
        <f t="shared" si="7"/>
        <v>-37821.273549999925</v>
      </c>
    </row>
    <row r="255" spans="1:11">
      <c r="A255" s="3">
        <v>41441.93</v>
      </c>
      <c r="B255" s="3">
        <v>4865</v>
      </c>
      <c r="C255" s="7">
        <v>0.158</v>
      </c>
      <c r="D255" s="3">
        <v>16</v>
      </c>
      <c r="E255" s="3">
        <v>88.3</v>
      </c>
      <c r="F255" s="3">
        <v>0.5</v>
      </c>
      <c r="G255" s="3">
        <v>0</v>
      </c>
      <c r="H255" s="3">
        <v>4</v>
      </c>
      <c r="I255" s="3">
        <v>591619.94999999995</v>
      </c>
      <c r="J255">
        <f t="shared" si="6"/>
        <v>621895.40410000004</v>
      </c>
      <c r="K255">
        <f t="shared" si="7"/>
        <v>-30275.45410000009</v>
      </c>
    </row>
    <row r="256" spans="1:11">
      <c r="A256" s="3">
        <v>40928.69</v>
      </c>
      <c r="B256" s="3">
        <v>4094</v>
      </c>
      <c r="C256" s="7">
        <v>0.17399999999999999</v>
      </c>
      <c r="D256" s="3">
        <v>13</v>
      </c>
      <c r="E256" s="3">
        <v>82.4</v>
      </c>
      <c r="F256" s="3">
        <v>1.36</v>
      </c>
      <c r="G256" s="3">
        <v>0</v>
      </c>
      <c r="H256" s="3">
        <v>4.8</v>
      </c>
      <c r="I256" s="3">
        <v>548103.69999999995</v>
      </c>
      <c r="J256">
        <f t="shared" si="6"/>
        <v>577830.47790000006</v>
      </c>
      <c r="K256">
        <f t="shared" si="7"/>
        <v>-29726.777900000103</v>
      </c>
    </row>
    <row r="257" spans="1:11">
      <c r="A257" s="3">
        <v>40923.67</v>
      </c>
      <c r="B257" s="3">
        <v>3875</v>
      </c>
      <c r="C257" s="7">
        <v>0.15</v>
      </c>
      <c r="D257" s="3">
        <v>10</v>
      </c>
      <c r="E257" s="3">
        <v>96.1</v>
      </c>
      <c r="F257" s="3">
        <v>4.55</v>
      </c>
      <c r="G257" s="3">
        <v>0</v>
      </c>
      <c r="H257" s="3">
        <v>3.8</v>
      </c>
      <c r="I257" s="3">
        <v>606783.67000000004</v>
      </c>
      <c r="J257">
        <f t="shared" si="6"/>
        <v>585635.1446</v>
      </c>
      <c r="K257">
        <f t="shared" si="7"/>
        <v>21148.525400000042</v>
      </c>
    </row>
    <row r="258" spans="1:11">
      <c r="A258" s="3">
        <v>40647.67</v>
      </c>
      <c r="B258" s="3">
        <v>8252</v>
      </c>
      <c r="C258" s="7">
        <v>0.14099999999999999</v>
      </c>
      <c r="D258" s="3">
        <v>22</v>
      </c>
      <c r="E258" s="3">
        <v>88.2</v>
      </c>
      <c r="F258" s="3">
        <v>5.07</v>
      </c>
      <c r="G258" s="3">
        <v>1</v>
      </c>
      <c r="H258" s="3">
        <v>4.0999999999999996</v>
      </c>
      <c r="I258" s="3">
        <v>703812.99</v>
      </c>
      <c r="J258">
        <f t="shared" si="6"/>
        <v>735359.87644999998</v>
      </c>
      <c r="K258">
        <f t="shared" si="7"/>
        <v>-31546.886449999991</v>
      </c>
    </row>
    <row r="259" spans="1:11">
      <c r="A259" s="3">
        <v>40553.11</v>
      </c>
      <c r="B259" s="3">
        <v>5317</v>
      </c>
      <c r="C259" s="7">
        <v>0.16500000000000001</v>
      </c>
      <c r="D259" s="3">
        <v>17</v>
      </c>
      <c r="E259" s="3">
        <v>84.3</v>
      </c>
      <c r="F259" s="3">
        <v>11.82</v>
      </c>
      <c r="G259" s="3">
        <v>0</v>
      </c>
      <c r="H259" s="3">
        <v>4.0999999999999996</v>
      </c>
      <c r="I259" s="3">
        <v>559660.84</v>
      </c>
      <c r="J259">
        <f t="shared" ref="J259:J321" si="8">96294.24+(1.18*A259)+(27.99*B259)-(71956.85*C259)+(3002.85*D259)+(2983.78*E259)-(2883.79*F259)+(12790.85*G259)+(10456.51*H259)</f>
        <v>592463.25674999994</v>
      </c>
      <c r="K259">
        <f t="shared" ref="K259:K321" si="9">I259-J259</f>
        <v>-32802.416749999975</v>
      </c>
    </row>
    <row r="260" spans="1:11">
      <c r="A260" s="3">
        <v>40535.089999999997</v>
      </c>
      <c r="B260" s="3">
        <v>8870</v>
      </c>
      <c r="C260" s="7">
        <v>4.1000000000000002E-2</v>
      </c>
      <c r="D260" s="3">
        <v>21</v>
      </c>
      <c r="E260" s="3">
        <v>86.6</v>
      </c>
      <c r="F260" s="3">
        <v>0.3</v>
      </c>
      <c r="G260" s="3">
        <v>0</v>
      </c>
      <c r="H260" s="3">
        <v>4.0999999999999996</v>
      </c>
      <c r="I260" s="3">
        <v>781955.52</v>
      </c>
      <c r="J260">
        <f t="shared" si="8"/>
        <v>752908.46735000005</v>
      </c>
      <c r="K260">
        <f t="shared" si="9"/>
        <v>29047.052649999969</v>
      </c>
    </row>
    <row r="261" spans="1:11">
      <c r="A261" s="3">
        <v>40462.94</v>
      </c>
      <c r="B261" s="3">
        <v>3660</v>
      </c>
      <c r="C261" s="7">
        <v>0.218</v>
      </c>
      <c r="D261" s="3">
        <v>11</v>
      </c>
      <c r="E261" s="3">
        <v>95.2</v>
      </c>
      <c r="F261" s="3">
        <v>5.57</v>
      </c>
      <c r="G261" s="3">
        <v>0</v>
      </c>
      <c r="H261" s="3">
        <v>4.4000000000000004</v>
      </c>
      <c r="I261" s="3">
        <v>592195.85</v>
      </c>
      <c r="J261">
        <f t="shared" si="8"/>
        <v>577830.45559999999</v>
      </c>
      <c r="K261">
        <f t="shared" si="9"/>
        <v>14365.39439999999</v>
      </c>
    </row>
    <row r="262" spans="1:11">
      <c r="A262" s="3">
        <v>40220.18</v>
      </c>
      <c r="B262" s="3">
        <v>3783</v>
      </c>
      <c r="C262" s="7">
        <v>8.8999999999999996E-2</v>
      </c>
      <c r="D262" s="3">
        <v>14</v>
      </c>
      <c r="E262" s="3">
        <v>86.6</v>
      </c>
      <c r="F262" s="3">
        <v>3.63</v>
      </c>
      <c r="G262" s="3">
        <v>0</v>
      </c>
      <c r="H262" s="3">
        <v>3.7</v>
      </c>
      <c r="I262" s="3">
        <v>559422.02</v>
      </c>
      <c r="J262">
        <f t="shared" si="8"/>
        <v>571892.24004999991</v>
      </c>
      <c r="K262">
        <f t="shared" si="9"/>
        <v>-12470.220049999887</v>
      </c>
    </row>
    <row r="263" spans="1:11">
      <c r="A263" s="3">
        <v>40102.879999999997</v>
      </c>
      <c r="B263" s="3">
        <v>2358</v>
      </c>
      <c r="C263" s="7">
        <v>0.11899999999999999</v>
      </c>
      <c r="D263" s="3">
        <v>9</v>
      </c>
      <c r="E263" s="3">
        <v>88.7</v>
      </c>
      <c r="F263" s="4">
        <v>1.6</v>
      </c>
      <c r="G263" s="3">
        <v>0</v>
      </c>
      <c r="H263" s="3">
        <v>4.2</v>
      </c>
      <c r="I263" s="3">
        <v>533121.26</v>
      </c>
      <c r="J263">
        <f t="shared" si="8"/>
        <v>532043.40724999993</v>
      </c>
      <c r="K263">
        <f t="shared" si="9"/>
        <v>1077.8527500000782</v>
      </c>
    </row>
    <row r="264" spans="1:11">
      <c r="A264" s="3">
        <v>39341.449999999997</v>
      </c>
      <c r="B264" s="3">
        <v>1375</v>
      </c>
      <c r="C264" s="7">
        <v>9.2999999999999999E-2</v>
      </c>
      <c r="D264" s="3">
        <v>5</v>
      </c>
      <c r="E264" s="3">
        <v>95</v>
      </c>
      <c r="F264" s="3">
        <v>5.32</v>
      </c>
      <c r="G264" s="3">
        <v>0</v>
      </c>
      <c r="H264" s="3">
        <v>3.92</v>
      </c>
      <c r="I264" s="3">
        <v>529598.93999999994</v>
      </c>
      <c r="J264">
        <f t="shared" si="8"/>
        <v>498632.52035000001</v>
      </c>
      <c r="K264">
        <f t="shared" si="9"/>
        <v>30966.419649999938</v>
      </c>
    </row>
    <row r="265" spans="1:11">
      <c r="A265" s="3">
        <v>38966.589999999997</v>
      </c>
      <c r="B265" s="3">
        <v>4509</v>
      </c>
      <c r="C265" s="7">
        <v>0.19400000000000001</v>
      </c>
      <c r="D265" s="3">
        <v>14</v>
      </c>
      <c r="E265" s="3">
        <v>91.1</v>
      </c>
      <c r="F265" s="3">
        <v>2.92</v>
      </c>
      <c r="G265" s="3">
        <v>0</v>
      </c>
      <c r="H265" s="3">
        <v>4.5999999999999996</v>
      </c>
      <c r="I265" s="3">
        <v>585937.48</v>
      </c>
      <c r="J265">
        <f t="shared" si="8"/>
        <v>608063.63449999993</v>
      </c>
      <c r="K265">
        <f t="shared" si="9"/>
        <v>-22126.154499999946</v>
      </c>
    </row>
    <row r="266" spans="1:11">
      <c r="A266" s="3">
        <v>38752.800000000003</v>
      </c>
      <c r="B266" s="3">
        <v>4712</v>
      </c>
      <c r="C266" s="7">
        <v>7.4999999999999997E-2</v>
      </c>
      <c r="D266" s="3">
        <v>15</v>
      </c>
      <c r="E266" s="3">
        <v>89.7</v>
      </c>
      <c r="F266" s="3">
        <v>4.55</v>
      </c>
      <c r="G266" s="3">
        <v>0</v>
      </c>
      <c r="H266" s="3">
        <v>4.3</v>
      </c>
      <c r="I266" s="3">
        <v>605775.32999999996</v>
      </c>
      <c r="J266">
        <f t="shared" si="8"/>
        <v>613044.22475000005</v>
      </c>
      <c r="K266">
        <f t="shared" si="9"/>
        <v>-7268.8947500000941</v>
      </c>
    </row>
    <row r="267" spans="1:11">
      <c r="A267" s="3">
        <v>38397.82</v>
      </c>
      <c r="B267" s="3">
        <v>7836</v>
      </c>
      <c r="C267" s="7">
        <v>7.0000000000000001E-3</v>
      </c>
      <c r="D267" s="3">
        <v>21</v>
      </c>
      <c r="E267" s="3">
        <v>92.2</v>
      </c>
      <c r="F267" s="3">
        <v>1.82</v>
      </c>
      <c r="G267" s="3">
        <v>0</v>
      </c>
      <c r="H267" s="3">
        <v>3.6</v>
      </c>
      <c r="I267" s="3">
        <v>776110.32</v>
      </c>
      <c r="J267">
        <f t="shared" si="8"/>
        <v>730988.9138499999</v>
      </c>
      <c r="K267">
        <f t="shared" si="9"/>
        <v>45121.406150000053</v>
      </c>
    </row>
    <row r="268" spans="1:11">
      <c r="A268" s="3">
        <v>38361.93</v>
      </c>
      <c r="B268" s="3">
        <v>6322</v>
      </c>
      <c r="C268" s="7">
        <v>0.27300000000000002</v>
      </c>
      <c r="D268" s="3">
        <v>15</v>
      </c>
      <c r="E268" s="3">
        <v>88.4</v>
      </c>
      <c r="F268" s="3">
        <v>0.83</v>
      </c>
      <c r="G268" s="3">
        <v>0</v>
      </c>
      <c r="H268" s="3">
        <v>4</v>
      </c>
      <c r="I268" s="3">
        <v>647953.78</v>
      </c>
      <c r="J268">
        <f t="shared" si="8"/>
        <v>647111.27364999999</v>
      </c>
      <c r="K268">
        <f t="shared" si="9"/>
        <v>842.50635000003967</v>
      </c>
    </row>
    <row r="269" spans="1:11">
      <c r="A269" s="3">
        <v>38297.58</v>
      </c>
      <c r="B269" s="3">
        <v>5893</v>
      </c>
      <c r="C269" s="7">
        <v>0.247</v>
      </c>
      <c r="D269" s="3">
        <v>18</v>
      </c>
      <c r="E269" s="3">
        <v>77.599999999999994</v>
      </c>
      <c r="F269" s="3">
        <v>2.86</v>
      </c>
      <c r="G269" s="3">
        <v>0</v>
      </c>
      <c r="H269" s="3">
        <v>3</v>
      </c>
      <c r="I269" s="3">
        <v>686737.87</v>
      </c>
      <c r="J269">
        <f t="shared" si="8"/>
        <v>597371.63105000008</v>
      </c>
      <c r="K269">
        <f t="shared" si="9"/>
        <v>89366.238949999912</v>
      </c>
    </row>
    <row r="270" spans="1:11">
      <c r="A270" s="3">
        <v>37983.35</v>
      </c>
      <c r="B270" s="3">
        <v>9283</v>
      </c>
      <c r="C270" s="7">
        <v>0.14899999999999999</v>
      </c>
      <c r="D270" s="3">
        <v>19</v>
      </c>
      <c r="E270" s="3">
        <v>83.2</v>
      </c>
      <c r="F270" s="3">
        <v>3.82</v>
      </c>
      <c r="G270" s="3">
        <v>0</v>
      </c>
      <c r="H270" s="3">
        <v>3.7</v>
      </c>
      <c r="I270" s="3">
        <v>671868.59</v>
      </c>
      <c r="J270">
        <f t="shared" si="8"/>
        <v>723201.84755000006</v>
      </c>
      <c r="K270">
        <f t="shared" si="9"/>
        <v>-51333.257550000097</v>
      </c>
    </row>
    <row r="271" spans="1:11">
      <c r="A271" s="3">
        <v>37828.5</v>
      </c>
      <c r="B271" s="3">
        <v>8221</v>
      </c>
      <c r="C271" s="7">
        <v>9.6000000000000002E-2</v>
      </c>
      <c r="D271" s="3">
        <v>19</v>
      </c>
      <c r="E271" s="3">
        <v>81.5</v>
      </c>
      <c r="F271" s="3">
        <v>3.19</v>
      </c>
      <c r="G271" s="3">
        <v>0</v>
      </c>
      <c r="H271" s="3">
        <v>4.8</v>
      </c>
      <c r="I271" s="3">
        <v>697155.3</v>
      </c>
      <c r="J271">
        <f t="shared" si="8"/>
        <v>705353.98030000005</v>
      </c>
      <c r="K271">
        <f t="shared" si="9"/>
        <v>-8198.6803000000073</v>
      </c>
    </row>
    <row r="272" spans="1:11">
      <c r="A272" s="3">
        <v>37705.879999999997</v>
      </c>
      <c r="B272" s="3">
        <v>1268</v>
      </c>
      <c r="C272" s="7">
        <v>0.25900000000000001</v>
      </c>
      <c r="D272" s="3">
        <v>9</v>
      </c>
      <c r="E272" s="3">
        <v>84.1</v>
      </c>
      <c r="F272" s="3">
        <v>4.7699999999999996</v>
      </c>
      <c r="G272" s="3">
        <v>0</v>
      </c>
      <c r="H272" s="3">
        <v>3.8</v>
      </c>
      <c r="I272" s="3">
        <v>443275.59</v>
      </c>
      <c r="J272">
        <f t="shared" si="8"/>
        <v>461582.28195000003</v>
      </c>
      <c r="K272">
        <f t="shared" si="9"/>
        <v>-18306.691950000008</v>
      </c>
    </row>
    <row r="273" spans="1:11">
      <c r="A273" s="3">
        <v>37324.230000000003</v>
      </c>
      <c r="B273" s="3">
        <v>5957</v>
      </c>
      <c r="C273" s="7">
        <v>7.0999999999999994E-2</v>
      </c>
      <c r="D273" s="3">
        <v>12</v>
      </c>
      <c r="E273" s="3">
        <v>85.9</v>
      </c>
      <c r="F273" s="3">
        <v>0.37</v>
      </c>
      <c r="G273" s="3">
        <v>0</v>
      </c>
      <c r="H273" s="3">
        <v>3.8</v>
      </c>
      <c r="I273" s="3">
        <v>570963.31000000006</v>
      </c>
      <c r="J273">
        <f t="shared" si="8"/>
        <v>632972.96275000006</v>
      </c>
      <c r="K273">
        <f t="shared" si="9"/>
        <v>-62009.652750000008</v>
      </c>
    </row>
    <row r="274" spans="1:11">
      <c r="A274" s="3">
        <v>37284.660000000003</v>
      </c>
      <c r="B274" s="3">
        <v>3928</v>
      </c>
      <c r="C274" s="7">
        <v>7.3999999999999996E-2</v>
      </c>
      <c r="D274" s="3">
        <v>12</v>
      </c>
      <c r="E274" s="3">
        <v>86.5</v>
      </c>
      <c r="F274" s="3">
        <v>1.64</v>
      </c>
      <c r="G274" s="3">
        <v>0</v>
      </c>
      <c r="H274" s="3">
        <v>3.8</v>
      </c>
      <c r="I274" s="3">
        <v>615966.48</v>
      </c>
      <c r="J274">
        <f t="shared" si="8"/>
        <v>574046.54430000007</v>
      </c>
      <c r="K274">
        <f t="shared" si="9"/>
        <v>41919.935699999915</v>
      </c>
    </row>
    <row r="275" spans="1:11">
      <c r="A275" s="3">
        <v>36832.33</v>
      </c>
      <c r="B275" s="3">
        <v>8001</v>
      </c>
      <c r="C275" s="7">
        <v>0</v>
      </c>
      <c r="D275" s="3">
        <v>19</v>
      </c>
      <c r="E275" s="3">
        <v>88.7</v>
      </c>
      <c r="F275" s="3">
        <v>3.39</v>
      </c>
      <c r="G275" s="3">
        <v>0</v>
      </c>
      <c r="H275" s="3">
        <v>4</v>
      </c>
      <c r="I275" s="3">
        <v>738548.42</v>
      </c>
      <c r="J275">
        <f t="shared" si="8"/>
        <v>717469.80729999999</v>
      </c>
      <c r="K275">
        <f t="shared" si="9"/>
        <v>21078.612700000056</v>
      </c>
    </row>
    <row r="276" spans="1:11">
      <c r="A276" s="3">
        <v>36813.449999999997</v>
      </c>
      <c r="B276" s="3">
        <v>2834</v>
      </c>
      <c r="C276" s="7">
        <v>0.191</v>
      </c>
      <c r="D276" s="3">
        <v>11</v>
      </c>
      <c r="E276" s="3">
        <v>81.8</v>
      </c>
      <c r="F276" s="3">
        <v>2.33</v>
      </c>
      <c r="G276" s="3">
        <v>0</v>
      </c>
      <c r="H276" s="3">
        <v>3.3</v>
      </c>
      <c r="I276" s="3">
        <v>479050.5</v>
      </c>
      <c r="J276">
        <f t="shared" si="8"/>
        <v>510205.81895000004</v>
      </c>
      <c r="K276">
        <f t="shared" si="9"/>
        <v>-31155.318950000044</v>
      </c>
    </row>
    <row r="277" spans="1:11">
      <c r="A277" s="3">
        <v>36606.51</v>
      </c>
      <c r="B277" s="3">
        <v>7671</v>
      </c>
      <c r="C277" s="7">
        <v>0.11799999999999999</v>
      </c>
      <c r="D277" s="3">
        <v>18</v>
      </c>
      <c r="E277" s="3">
        <v>89.8</v>
      </c>
      <c r="F277" s="3">
        <v>0.25</v>
      </c>
      <c r="G277" s="3">
        <v>0</v>
      </c>
      <c r="H277" s="3">
        <v>4.4000000000000004</v>
      </c>
      <c r="I277" s="3">
        <v>679731.57</v>
      </c>
      <c r="J277">
        <f t="shared" si="8"/>
        <v>712992.74399999995</v>
      </c>
      <c r="K277">
        <f t="shared" si="9"/>
        <v>-33261.173999999999</v>
      </c>
    </row>
    <row r="278" spans="1:11">
      <c r="A278" s="3">
        <v>36475.71</v>
      </c>
      <c r="B278" s="3">
        <v>3559</v>
      </c>
      <c r="C278" s="7">
        <v>0.03</v>
      </c>
      <c r="D278" s="3">
        <v>8</v>
      </c>
      <c r="E278" s="3">
        <v>83.6</v>
      </c>
      <c r="F278" s="3">
        <v>1.41</v>
      </c>
      <c r="G278" s="3">
        <v>0</v>
      </c>
      <c r="H278" s="3">
        <v>4.2</v>
      </c>
      <c r="I278" s="3">
        <v>569100.78</v>
      </c>
      <c r="J278">
        <f t="shared" si="8"/>
        <v>550111.28839999996</v>
      </c>
      <c r="K278">
        <f t="shared" si="9"/>
        <v>18989.491600000067</v>
      </c>
    </row>
    <row r="279" spans="1:11">
      <c r="A279" s="3">
        <v>36290.080000000002</v>
      </c>
      <c r="B279" s="3">
        <v>5787</v>
      </c>
      <c r="C279" s="7">
        <v>0</v>
      </c>
      <c r="D279" s="3">
        <v>17</v>
      </c>
      <c r="E279" s="3">
        <v>88.3</v>
      </c>
      <c r="F279" s="3">
        <v>4.1900000000000004</v>
      </c>
      <c r="G279" s="3">
        <v>0</v>
      </c>
      <c r="H279" s="3">
        <v>4.0999999999999996</v>
      </c>
      <c r="I279" s="3">
        <v>612390.14</v>
      </c>
      <c r="J279">
        <f t="shared" si="8"/>
        <v>646399.49930000002</v>
      </c>
      <c r="K279">
        <f t="shared" si="9"/>
        <v>-34009.359300000011</v>
      </c>
    </row>
    <row r="280" spans="1:11">
      <c r="A280" s="3">
        <v>35303.300000000003</v>
      </c>
      <c r="B280" s="3">
        <v>8789</v>
      </c>
      <c r="C280" s="7">
        <v>0.123</v>
      </c>
      <c r="D280" s="3">
        <v>22</v>
      </c>
      <c r="E280" s="3">
        <v>86.1</v>
      </c>
      <c r="F280" s="3">
        <v>9.43</v>
      </c>
      <c r="G280" s="3">
        <v>0</v>
      </c>
      <c r="H280" s="3">
        <v>4.2</v>
      </c>
      <c r="I280" s="3">
        <v>706285.52</v>
      </c>
      <c r="J280">
        <f t="shared" si="8"/>
        <v>714794.91174999997</v>
      </c>
      <c r="K280">
        <f t="shared" si="9"/>
        <v>-8509.3917499999516</v>
      </c>
    </row>
    <row r="281" spans="1:11">
      <c r="A281" s="3">
        <v>35296.54</v>
      </c>
      <c r="B281" s="3">
        <v>9644</v>
      </c>
      <c r="C281" s="7">
        <v>0</v>
      </c>
      <c r="D281" s="3">
        <v>22</v>
      </c>
      <c r="E281" s="3">
        <v>88</v>
      </c>
      <c r="F281" s="3">
        <v>2.81</v>
      </c>
      <c r="G281" s="3">
        <v>0</v>
      </c>
      <c r="H281" s="3">
        <v>4.7</v>
      </c>
      <c r="I281" s="3">
        <v>752321.72</v>
      </c>
      <c r="J281">
        <f t="shared" si="8"/>
        <v>777557.20429999998</v>
      </c>
      <c r="K281">
        <f t="shared" si="9"/>
        <v>-25235.484300000011</v>
      </c>
    </row>
    <row r="282" spans="1:11">
      <c r="A282" s="3">
        <v>35203.230000000003</v>
      </c>
      <c r="B282" s="3">
        <v>6896</v>
      </c>
      <c r="C282" s="7">
        <v>3.2000000000000001E-2</v>
      </c>
      <c r="D282" s="3">
        <v>14</v>
      </c>
      <c r="E282" s="3">
        <v>80.8</v>
      </c>
      <c r="F282" s="3">
        <v>8.44</v>
      </c>
      <c r="G282" s="3">
        <v>1</v>
      </c>
      <c r="H282" s="3">
        <v>5</v>
      </c>
      <c r="I282" s="3">
        <v>607084.92000000004</v>
      </c>
      <c r="J282">
        <f t="shared" si="8"/>
        <v>652414.00860000006</v>
      </c>
      <c r="K282">
        <f t="shared" si="9"/>
        <v>-45329.088600000017</v>
      </c>
    </row>
    <row r="283" spans="1:11">
      <c r="A283" s="3">
        <v>34771.26</v>
      </c>
      <c r="B283" s="3">
        <v>4355</v>
      </c>
      <c r="C283" s="7">
        <v>5.0999999999999997E-2</v>
      </c>
      <c r="D283" s="3">
        <v>15</v>
      </c>
      <c r="E283" s="3">
        <v>87.9</v>
      </c>
      <c r="F283" s="3">
        <v>3.09</v>
      </c>
      <c r="G283" s="3">
        <v>0</v>
      </c>
      <c r="H283" s="3">
        <v>4</v>
      </c>
      <c r="I283" s="3">
        <v>555557.77</v>
      </c>
      <c r="J283">
        <f t="shared" si="8"/>
        <v>595783.11835</v>
      </c>
      <c r="K283">
        <f t="shared" si="9"/>
        <v>-40225.348349999986</v>
      </c>
    </row>
    <row r="284" spans="1:11">
      <c r="A284" s="3">
        <v>34285.21</v>
      </c>
      <c r="B284" s="3">
        <v>9172</v>
      </c>
      <c r="C284" s="7">
        <v>0.21299999999999999</v>
      </c>
      <c r="D284" s="3">
        <v>22</v>
      </c>
      <c r="E284" s="3">
        <v>88.3</v>
      </c>
      <c r="F284" s="3">
        <v>10.46</v>
      </c>
      <c r="G284" s="3">
        <v>1</v>
      </c>
      <c r="H284" s="3">
        <v>3.8</v>
      </c>
      <c r="I284" s="3">
        <v>723060.76</v>
      </c>
      <c r="J284">
        <f t="shared" si="8"/>
        <v>730039.87734999997</v>
      </c>
      <c r="K284">
        <f t="shared" si="9"/>
        <v>-6979.1173499999568</v>
      </c>
    </row>
    <row r="285" spans="1:11">
      <c r="A285" s="3">
        <v>33987.33</v>
      </c>
      <c r="B285" s="3">
        <v>5014</v>
      </c>
      <c r="C285" s="7">
        <v>0.246</v>
      </c>
      <c r="D285" s="3">
        <v>17</v>
      </c>
      <c r="E285" s="3">
        <v>94.3</v>
      </c>
      <c r="F285" s="3">
        <v>10.34</v>
      </c>
      <c r="G285" s="3">
        <v>0</v>
      </c>
      <c r="H285" s="3">
        <v>3.9</v>
      </c>
      <c r="I285" s="3">
        <v>622892.42000000004</v>
      </c>
      <c r="J285">
        <f t="shared" si="8"/>
        <v>602420.66870000004</v>
      </c>
      <c r="K285">
        <f t="shared" si="9"/>
        <v>20471.751300000004</v>
      </c>
    </row>
    <row r="286" spans="1:11">
      <c r="A286" s="3">
        <v>33605.18</v>
      </c>
      <c r="B286" s="3">
        <v>9225</v>
      </c>
      <c r="C286" s="7">
        <v>0.159</v>
      </c>
      <c r="D286" s="3">
        <v>23</v>
      </c>
      <c r="E286" s="3">
        <v>88.4</v>
      </c>
      <c r="F286" s="3">
        <v>5.91</v>
      </c>
      <c r="G286" s="3">
        <v>0</v>
      </c>
      <c r="H286" s="3">
        <v>2.8</v>
      </c>
      <c r="I286" s="3">
        <v>697287.9</v>
      </c>
      <c r="J286">
        <f t="shared" si="8"/>
        <v>727781.69435000012</v>
      </c>
      <c r="K286">
        <f t="shared" si="9"/>
        <v>-30493.794350000098</v>
      </c>
    </row>
    <row r="287" spans="1:11">
      <c r="A287" s="3">
        <v>33518.879999999997</v>
      </c>
      <c r="B287" s="3">
        <v>2121</v>
      </c>
      <c r="C287" s="7">
        <v>0.17599999999999999</v>
      </c>
      <c r="D287" s="3">
        <v>8</v>
      </c>
      <c r="E287" s="3">
        <v>88.5</v>
      </c>
      <c r="F287" s="3">
        <v>0.2</v>
      </c>
      <c r="G287" s="3">
        <v>0</v>
      </c>
      <c r="H287" s="3">
        <v>5</v>
      </c>
      <c r="I287" s="3">
        <v>491905.13</v>
      </c>
      <c r="J287">
        <f t="shared" si="8"/>
        <v>522342.02480000001</v>
      </c>
      <c r="K287">
        <f t="shared" si="9"/>
        <v>-30436.894800000009</v>
      </c>
    </row>
    <row r="288" spans="1:11">
      <c r="A288" s="3">
        <v>33173.949999999997</v>
      </c>
      <c r="B288" s="3">
        <v>6545</v>
      </c>
      <c r="C288" s="7">
        <v>0.16900000000000001</v>
      </c>
      <c r="D288" s="3">
        <v>15</v>
      </c>
      <c r="E288" s="3">
        <v>84.4</v>
      </c>
      <c r="F288" s="3">
        <v>2.48</v>
      </c>
      <c r="G288" s="3">
        <v>0</v>
      </c>
      <c r="H288" s="3">
        <v>3.9</v>
      </c>
      <c r="I288" s="3">
        <v>596969.27</v>
      </c>
      <c r="J288">
        <f t="shared" si="8"/>
        <v>636975.71514999995</v>
      </c>
      <c r="K288">
        <f t="shared" si="9"/>
        <v>-40006.445149999927</v>
      </c>
    </row>
    <row r="289" spans="1:11">
      <c r="A289" s="3">
        <v>32834.480000000003</v>
      </c>
      <c r="B289" s="3">
        <v>7576</v>
      </c>
      <c r="C289" s="7">
        <v>9.9000000000000005E-2</v>
      </c>
      <c r="D289" s="3">
        <v>15</v>
      </c>
      <c r="E289" s="3">
        <v>84.1</v>
      </c>
      <c r="F289" s="3">
        <v>3.48</v>
      </c>
      <c r="G289" s="3">
        <v>0</v>
      </c>
      <c r="H289" s="3">
        <v>5</v>
      </c>
      <c r="I289" s="3">
        <v>593637.14</v>
      </c>
      <c r="J289">
        <f t="shared" si="8"/>
        <v>678193.04704999994</v>
      </c>
      <c r="K289">
        <f t="shared" si="9"/>
        <v>-84555.907049999922</v>
      </c>
    </row>
    <row r="290" spans="1:11">
      <c r="A290" s="3">
        <v>32266.639999999999</v>
      </c>
      <c r="B290" s="3">
        <v>2414</v>
      </c>
      <c r="C290" s="7">
        <v>0.08</v>
      </c>
      <c r="D290" s="3">
        <v>7</v>
      </c>
      <c r="E290" s="3">
        <v>92.1</v>
      </c>
      <c r="F290" s="3">
        <v>1.48</v>
      </c>
      <c r="G290" s="3">
        <v>0</v>
      </c>
      <c r="H290" s="3">
        <v>5</v>
      </c>
      <c r="I290" s="3">
        <v>625514.04</v>
      </c>
      <c r="J290">
        <f t="shared" si="8"/>
        <v>540020.81599999999</v>
      </c>
      <c r="K290">
        <f t="shared" si="9"/>
        <v>85493.224000000046</v>
      </c>
    </row>
    <row r="291" spans="1:11">
      <c r="A291" s="3">
        <v>31997.25</v>
      </c>
      <c r="B291" s="3">
        <v>8183</v>
      </c>
      <c r="C291" s="7">
        <v>0.19800000000000001</v>
      </c>
      <c r="D291" s="3">
        <v>18</v>
      </c>
      <c r="E291" s="3">
        <v>93</v>
      </c>
      <c r="F291" s="3">
        <v>2.79</v>
      </c>
      <c r="G291" s="3">
        <v>0</v>
      </c>
      <c r="H291" s="3">
        <v>4.2</v>
      </c>
      <c r="I291" s="3">
        <v>780580.95</v>
      </c>
      <c r="J291">
        <f t="shared" si="8"/>
        <v>716260.11659999983</v>
      </c>
      <c r="K291">
        <f t="shared" si="9"/>
        <v>64320.83340000012</v>
      </c>
    </row>
    <row r="292" spans="1:11">
      <c r="A292" s="3">
        <v>31207.51</v>
      </c>
      <c r="B292" s="3">
        <v>3701</v>
      </c>
      <c r="C292" s="7">
        <v>4.2999999999999997E-2</v>
      </c>
      <c r="D292" s="3">
        <v>11</v>
      </c>
      <c r="E292" s="3">
        <v>84.7</v>
      </c>
      <c r="F292" s="3">
        <v>0.33</v>
      </c>
      <c r="G292" s="3">
        <v>0</v>
      </c>
      <c r="H292" s="3">
        <v>4.3</v>
      </c>
      <c r="I292" s="3">
        <v>586307.22</v>
      </c>
      <c r="J292">
        <f t="shared" si="8"/>
        <v>563384.80555000005</v>
      </c>
      <c r="K292">
        <f t="shared" si="9"/>
        <v>22922.414449999924</v>
      </c>
    </row>
    <row r="293" spans="1:11">
      <c r="A293" s="3">
        <v>31042.03</v>
      </c>
      <c r="B293" s="3">
        <v>7107</v>
      </c>
      <c r="C293" s="7">
        <v>5.0999999999999997E-2</v>
      </c>
      <c r="D293" s="3">
        <v>15</v>
      </c>
      <c r="E293" s="3">
        <v>87</v>
      </c>
      <c r="F293" s="3">
        <v>13.33</v>
      </c>
      <c r="G293" s="3">
        <v>0</v>
      </c>
      <c r="H293" s="3">
        <v>3.2</v>
      </c>
      <c r="I293" s="3">
        <v>665594.93999999994</v>
      </c>
      <c r="J293">
        <f t="shared" si="8"/>
        <v>627830.48735000007</v>
      </c>
      <c r="K293">
        <f t="shared" si="9"/>
        <v>37764.452649999876</v>
      </c>
    </row>
    <row r="294" spans="1:11">
      <c r="A294" s="3">
        <v>30356.28</v>
      </c>
      <c r="B294" s="3">
        <v>2822</v>
      </c>
      <c r="C294" s="7">
        <v>0.23100000000000001</v>
      </c>
      <c r="D294" s="3">
        <v>9</v>
      </c>
      <c r="E294" s="3">
        <v>84.8</v>
      </c>
      <c r="F294" s="3">
        <v>6.95</v>
      </c>
      <c r="G294" s="3">
        <v>0</v>
      </c>
      <c r="H294" s="3">
        <v>5</v>
      </c>
      <c r="I294" s="3">
        <v>415721.82</v>
      </c>
      <c r="J294">
        <f t="shared" si="8"/>
        <v>506770.80154999997</v>
      </c>
      <c r="K294">
        <f t="shared" si="9"/>
        <v>-91048.981549999968</v>
      </c>
    </row>
    <row r="295" spans="1:11">
      <c r="A295" s="3">
        <v>30301.86</v>
      </c>
      <c r="B295" s="3">
        <v>6939</v>
      </c>
      <c r="C295" s="7">
        <v>0.09</v>
      </c>
      <c r="D295" s="3">
        <v>16</v>
      </c>
      <c r="E295" s="3">
        <v>90.3</v>
      </c>
      <c r="F295" s="3">
        <v>3.49</v>
      </c>
      <c r="G295" s="3">
        <v>0</v>
      </c>
      <c r="H295" s="3">
        <v>4</v>
      </c>
      <c r="I295" s="3">
        <v>665534.69999999995</v>
      </c>
      <c r="J295">
        <f t="shared" si="8"/>
        <v>669039.47519999999</v>
      </c>
      <c r="K295">
        <f t="shared" si="9"/>
        <v>-3504.7752000000328</v>
      </c>
    </row>
    <row r="296" spans="1:11">
      <c r="A296" s="3">
        <v>29389.32</v>
      </c>
      <c r="B296" s="3">
        <v>7925</v>
      </c>
      <c r="C296" s="7">
        <v>0.17699999999999999</v>
      </c>
      <c r="D296" s="3">
        <v>21</v>
      </c>
      <c r="E296" s="3">
        <v>90.9</v>
      </c>
      <c r="F296" s="3">
        <v>7.86</v>
      </c>
      <c r="G296" s="3">
        <v>0</v>
      </c>
      <c r="H296" s="3">
        <v>4</v>
      </c>
      <c r="I296" s="3">
        <v>783582</v>
      </c>
      <c r="J296">
        <f t="shared" si="8"/>
        <v>693502.92774999992</v>
      </c>
      <c r="K296">
        <f t="shared" si="9"/>
        <v>90079.072250000085</v>
      </c>
    </row>
    <row r="297" spans="1:11">
      <c r="A297" s="3">
        <v>29344.93</v>
      </c>
      <c r="B297" s="3">
        <v>7446</v>
      </c>
      <c r="C297" s="7">
        <v>0.111</v>
      </c>
      <c r="D297" s="3">
        <v>15</v>
      </c>
      <c r="E297" s="3">
        <v>86.2</v>
      </c>
      <c r="F297" s="3">
        <v>0.2</v>
      </c>
      <c r="G297" s="3">
        <v>0</v>
      </c>
      <c r="H297" s="3">
        <v>3.2</v>
      </c>
      <c r="I297" s="3">
        <v>593343</v>
      </c>
      <c r="J297">
        <f t="shared" si="8"/>
        <v>666476.24705000001</v>
      </c>
      <c r="K297">
        <f t="shared" si="9"/>
        <v>-73133.247050000005</v>
      </c>
    </row>
    <row r="298" spans="1:11">
      <c r="A298" s="3">
        <v>28670.43</v>
      </c>
      <c r="B298" s="3">
        <v>7574</v>
      </c>
      <c r="C298" s="7">
        <v>0.114</v>
      </c>
      <c r="D298" s="3">
        <v>19</v>
      </c>
      <c r="E298" s="3">
        <v>82.7</v>
      </c>
      <c r="F298" s="3">
        <v>2.74</v>
      </c>
      <c r="G298" s="3">
        <v>0</v>
      </c>
      <c r="H298" s="3">
        <v>4.5999999999999996</v>
      </c>
      <c r="I298" s="3">
        <v>697888.09</v>
      </c>
      <c r="J298">
        <f t="shared" si="8"/>
        <v>677929.64390000002</v>
      </c>
      <c r="K298">
        <f t="shared" si="9"/>
        <v>19958.446099999943</v>
      </c>
    </row>
    <row r="299" spans="1:11">
      <c r="A299" s="3">
        <v>27808.6</v>
      </c>
      <c r="B299" s="3">
        <v>2863</v>
      </c>
      <c r="C299" s="7">
        <v>0.08</v>
      </c>
      <c r="D299" s="3">
        <v>13</v>
      </c>
      <c r="E299" s="3">
        <v>89.3</v>
      </c>
      <c r="F299" s="3">
        <v>0.47</v>
      </c>
      <c r="G299" s="3">
        <v>0</v>
      </c>
      <c r="H299" s="3">
        <v>4.0999999999999996</v>
      </c>
      <c r="I299" s="3">
        <v>487464.91</v>
      </c>
      <c r="J299">
        <f t="shared" si="8"/>
        <v>550492.1237</v>
      </c>
      <c r="K299">
        <f t="shared" si="9"/>
        <v>-63027.213700000022</v>
      </c>
    </row>
    <row r="300" spans="1:11">
      <c r="A300" s="3">
        <v>27398.28</v>
      </c>
      <c r="B300" s="3">
        <v>1723</v>
      </c>
      <c r="C300" s="7">
        <v>0.17100000000000001</v>
      </c>
      <c r="D300" s="3">
        <v>9</v>
      </c>
      <c r="E300" s="3">
        <v>81</v>
      </c>
      <c r="F300" s="3">
        <v>0.74</v>
      </c>
      <c r="G300" s="3">
        <v>0</v>
      </c>
      <c r="H300" s="3">
        <v>4.5999999999999996</v>
      </c>
      <c r="I300" s="3">
        <v>487738.26</v>
      </c>
      <c r="J300">
        <f t="shared" si="8"/>
        <v>479224.13045000006</v>
      </c>
      <c r="K300">
        <f t="shared" si="9"/>
        <v>8514.1295499999542</v>
      </c>
    </row>
    <row r="301" spans="1:11">
      <c r="A301" s="3">
        <v>27194.639999999999</v>
      </c>
      <c r="B301" s="3">
        <v>7404</v>
      </c>
      <c r="C301" s="7">
        <v>8.7999999999999995E-2</v>
      </c>
      <c r="D301" s="3">
        <v>18</v>
      </c>
      <c r="E301" s="3">
        <v>90.2</v>
      </c>
      <c r="F301" s="3">
        <v>1.2</v>
      </c>
      <c r="G301" s="3">
        <v>0</v>
      </c>
      <c r="H301" s="3">
        <v>3.4</v>
      </c>
      <c r="I301" s="3">
        <v>672670.54</v>
      </c>
      <c r="J301">
        <f t="shared" si="8"/>
        <v>684569.51439999999</v>
      </c>
      <c r="K301">
        <f t="shared" si="9"/>
        <v>-11898.974399999948</v>
      </c>
    </row>
    <row r="302" spans="1:11">
      <c r="A302" s="3">
        <v>26248.1</v>
      </c>
      <c r="B302" s="3">
        <v>9314</v>
      </c>
      <c r="C302" s="7">
        <v>0.186</v>
      </c>
      <c r="D302" s="3">
        <v>21</v>
      </c>
      <c r="E302" s="3">
        <v>83.7</v>
      </c>
      <c r="F302" s="3">
        <v>4.62</v>
      </c>
      <c r="G302" s="3">
        <v>0</v>
      </c>
      <c r="H302" s="3">
        <v>3.3</v>
      </c>
      <c r="I302" s="3">
        <v>737070.18</v>
      </c>
      <c r="J302">
        <f t="shared" si="8"/>
        <v>708567.49310000008</v>
      </c>
      <c r="K302">
        <f t="shared" si="9"/>
        <v>28502.686899999972</v>
      </c>
    </row>
    <row r="303" spans="1:11">
      <c r="A303" s="3">
        <v>25990.54</v>
      </c>
      <c r="B303" s="3">
        <v>9249</v>
      </c>
      <c r="C303" s="7">
        <v>0.13900000000000001</v>
      </c>
      <c r="D303" s="3">
        <v>23</v>
      </c>
      <c r="E303" s="3">
        <v>92.5</v>
      </c>
      <c r="F303" s="3">
        <v>6.37</v>
      </c>
      <c r="G303" s="3">
        <v>0</v>
      </c>
      <c r="H303" s="3">
        <v>3.3</v>
      </c>
      <c r="I303" s="3">
        <v>718074.79</v>
      </c>
      <c r="J303">
        <f t="shared" si="8"/>
        <v>737042.52574999991</v>
      </c>
      <c r="K303">
        <f t="shared" si="9"/>
        <v>-18967.735749999876</v>
      </c>
    </row>
    <row r="304" spans="1:11">
      <c r="A304" s="3">
        <v>25818.080000000002</v>
      </c>
      <c r="B304" s="3">
        <v>5457</v>
      </c>
      <c r="C304" s="7">
        <v>0</v>
      </c>
      <c r="D304" s="3">
        <v>11</v>
      </c>
      <c r="E304" s="3">
        <v>95.4</v>
      </c>
      <c r="F304" s="3">
        <v>4.55</v>
      </c>
      <c r="G304" s="3">
        <v>0</v>
      </c>
      <c r="H304" s="3">
        <v>3.7</v>
      </c>
      <c r="I304" s="3">
        <v>647512.85</v>
      </c>
      <c r="J304">
        <f t="shared" si="8"/>
        <v>622752.80890000006</v>
      </c>
      <c r="K304">
        <f t="shared" si="9"/>
        <v>24760.041099999915</v>
      </c>
    </row>
    <row r="305" spans="1:11">
      <c r="A305" s="3">
        <v>24362.98</v>
      </c>
      <c r="B305" s="3">
        <v>1462</v>
      </c>
      <c r="C305" s="7">
        <v>0.11700000000000001</v>
      </c>
      <c r="D305" s="3">
        <v>6</v>
      </c>
      <c r="E305" s="3">
        <v>89.3</v>
      </c>
      <c r="F305" s="3">
        <v>15.06</v>
      </c>
      <c r="G305" s="3">
        <v>0</v>
      </c>
      <c r="H305" s="3">
        <v>3.2</v>
      </c>
      <c r="I305" s="3">
        <v>401582.58</v>
      </c>
      <c r="J305">
        <f t="shared" si="8"/>
        <v>432044.59355000005</v>
      </c>
      <c r="K305">
        <f t="shared" si="9"/>
        <v>-30462.013550000032</v>
      </c>
    </row>
    <row r="306" spans="1:11">
      <c r="A306" s="3">
        <v>24088.06</v>
      </c>
      <c r="B306" s="3">
        <v>3466</v>
      </c>
      <c r="C306" s="7">
        <v>0</v>
      </c>
      <c r="D306" s="3">
        <v>11</v>
      </c>
      <c r="E306" s="3">
        <v>88</v>
      </c>
      <c r="F306" s="3">
        <v>0.2</v>
      </c>
      <c r="G306" s="3">
        <v>0</v>
      </c>
      <c r="H306" s="3">
        <v>3.8</v>
      </c>
      <c r="I306" s="3">
        <v>536845.42000000004</v>
      </c>
      <c r="J306">
        <f t="shared" si="8"/>
        <v>556493.4608</v>
      </c>
      <c r="K306">
        <f t="shared" si="9"/>
        <v>-19648.040799999959</v>
      </c>
    </row>
    <row r="307" spans="1:11">
      <c r="A307" s="3">
        <v>23914.97</v>
      </c>
      <c r="B307" s="3">
        <v>8018</v>
      </c>
      <c r="C307" s="7">
        <v>0.13900000000000001</v>
      </c>
      <c r="D307" s="3">
        <v>20</v>
      </c>
      <c r="E307" s="3">
        <v>89</v>
      </c>
      <c r="F307" s="3">
        <v>0.2</v>
      </c>
      <c r="G307" s="3">
        <v>0</v>
      </c>
      <c r="H307" s="3">
        <v>3.5</v>
      </c>
      <c r="I307" s="3">
        <v>739374.56</v>
      </c>
      <c r="J307">
        <f t="shared" si="8"/>
        <v>700570.16944999993</v>
      </c>
      <c r="K307">
        <f t="shared" si="9"/>
        <v>38804.390550000127</v>
      </c>
    </row>
    <row r="308" spans="1:11">
      <c r="A308" s="3">
        <v>23702.38</v>
      </c>
      <c r="B308" s="3">
        <v>5285</v>
      </c>
      <c r="C308" s="7">
        <v>0.16700000000000001</v>
      </c>
      <c r="D308" s="3">
        <v>14</v>
      </c>
      <c r="E308" s="3">
        <v>79.7</v>
      </c>
      <c r="F308" s="3">
        <v>1.1000000000000001</v>
      </c>
      <c r="G308" s="3">
        <v>0</v>
      </c>
      <c r="H308" s="3">
        <v>4.3</v>
      </c>
      <c r="I308" s="3">
        <v>536524.84</v>
      </c>
      <c r="J308">
        <f t="shared" si="8"/>
        <v>581811.39445000002</v>
      </c>
      <c r="K308">
        <f t="shared" si="9"/>
        <v>-45286.554450000054</v>
      </c>
    </row>
    <row r="309" spans="1:11">
      <c r="A309" s="3">
        <v>23254.57</v>
      </c>
      <c r="B309" s="3">
        <v>3847</v>
      </c>
      <c r="C309" s="7">
        <v>0.159</v>
      </c>
      <c r="D309" s="3">
        <v>12</v>
      </c>
      <c r="E309" s="3">
        <v>93</v>
      </c>
      <c r="F309" s="3">
        <v>5.46</v>
      </c>
      <c r="G309" s="3">
        <v>0</v>
      </c>
      <c r="H309" s="3">
        <v>3.3</v>
      </c>
      <c r="I309" s="3">
        <v>620973.03</v>
      </c>
      <c r="J309">
        <f t="shared" si="8"/>
        <v>552257.75304999994</v>
      </c>
      <c r="K309">
        <f t="shared" si="9"/>
        <v>68715.276950000087</v>
      </c>
    </row>
    <row r="310" spans="1:11">
      <c r="A310" s="3">
        <v>22387.26</v>
      </c>
      <c r="B310" s="3">
        <v>6301</v>
      </c>
      <c r="C310" s="7">
        <v>0.14599999999999999</v>
      </c>
      <c r="D310" s="3">
        <v>14</v>
      </c>
      <c r="E310" s="3">
        <v>85.9</v>
      </c>
      <c r="F310" s="3">
        <v>1.17</v>
      </c>
      <c r="G310" s="3">
        <v>1</v>
      </c>
      <c r="H310" s="3">
        <v>3.7</v>
      </c>
      <c r="I310" s="3">
        <v>665342.49</v>
      </c>
      <c r="J310">
        <f t="shared" si="8"/>
        <v>635023.00139999995</v>
      </c>
      <c r="K310">
        <f t="shared" si="9"/>
        <v>30319.488600000041</v>
      </c>
    </row>
    <row r="311" spans="1:11">
      <c r="A311" s="3">
        <v>22312.93</v>
      </c>
      <c r="B311" s="3">
        <v>5955</v>
      </c>
      <c r="C311" s="7">
        <v>0.123</v>
      </c>
      <c r="D311" s="3">
        <v>13</v>
      </c>
      <c r="E311" s="3">
        <v>84.2</v>
      </c>
      <c r="F311" s="3">
        <v>0.41</v>
      </c>
      <c r="G311" s="3">
        <v>1</v>
      </c>
      <c r="H311" s="3">
        <v>4.5999999999999996</v>
      </c>
      <c r="I311" s="3">
        <v>598904.9</v>
      </c>
      <c r="J311">
        <f t="shared" si="8"/>
        <v>630433.02295000001</v>
      </c>
      <c r="K311">
        <f t="shared" si="9"/>
        <v>-31528.12294999999</v>
      </c>
    </row>
    <row r="312" spans="1:11">
      <c r="A312" s="3">
        <v>22071.64</v>
      </c>
      <c r="B312" s="3">
        <v>1814</v>
      </c>
      <c r="C312" s="7">
        <v>0.19600000000000001</v>
      </c>
      <c r="D312" s="3">
        <v>8</v>
      </c>
      <c r="E312" s="3">
        <v>81.099999999999994</v>
      </c>
      <c r="F312" s="3">
        <v>0.78</v>
      </c>
      <c r="G312" s="3">
        <v>0</v>
      </c>
      <c r="H312" s="3">
        <v>3.92</v>
      </c>
      <c r="I312" s="3">
        <v>400831.65</v>
      </c>
      <c r="J312">
        <f t="shared" si="8"/>
        <v>463756.61359999998</v>
      </c>
      <c r="K312">
        <f t="shared" si="9"/>
        <v>-62924.963599999959</v>
      </c>
    </row>
    <row r="313" spans="1:11">
      <c r="A313" s="3">
        <v>21536.18</v>
      </c>
      <c r="B313" s="3">
        <v>8119</v>
      </c>
      <c r="C313" s="7">
        <v>0.22700000000000001</v>
      </c>
      <c r="D313" s="3">
        <v>20</v>
      </c>
      <c r="E313" s="3">
        <v>90.4</v>
      </c>
      <c r="F313" s="3">
        <v>1.7</v>
      </c>
      <c r="G313" s="3">
        <v>0</v>
      </c>
      <c r="H313" s="4">
        <v>3.3</v>
      </c>
      <c r="I313" s="3">
        <v>679888.74</v>
      </c>
      <c r="J313">
        <f t="shared" si="8"/>
        <v>692018.28945000004</v>
      </c>
      <c r="K313">
        <f t="shared" si="9"/>
        <v>-12129.54945000005</v>
      </c>
    </row>
    <row r="314" spans="1:11">
      <c r="A314" s="3">
        <v>19365.060000000001</v>
      </c>
      <c r="B314" s="3">
        <v>2378</v>
      </c>
      <c r="C314" s="7">
        <v>0</v>
      </c>
      <c r="D314" s="3">
        <v>12</v>
      </c>
      <c r="E314" s="3">
        <v>94.8</v>
      </c>
      <c r="F314" s="3">
        <v>0.2</v>
      </c>
      <c r="G314" s="3">
        <v>0</v>
      </c>
      <c r="H314" s="3">
        <v>3.5</v>
      </c>
      <c r="I314" s="3">
        <v>518049.26</v>
      </c>
      <c r="J314">
        <f t="shared" si="8"/>
        <v>540622.80180000002</v>
      </c>
      <c r="K314">
        <f t="shared" si="9"/>
        <v>-22573.541800000006</v>
      </c>
    </row>
    <row r="315" spans="1:11">
      <c r="A315" s="3">
        <v>19063.48</v>
      </c>
      <c r="B315" s="3">
        <v>1906</v>
      </c>
      <c r="C315" s="7">
        <v>0.216</v>
      </c>
      <c r="D315" s="3">
        <v>10</v>
      </c>
      <c r="E315" s="3">
        <v>97.8</v>
      </c>
      <c r="F315" s="3">
        <v>15.79</v>
      </c>
      <c r="G315" s="3">
        <v>0</v>
      </c>
      <c r="H315" s="4">
        <v>4.4000000000000004</v>
      </c>
      <c r="I315" s="3">
        <v>441275.42</v>
      </c>
      <c r="J315">
        <f t="shared" si="8"/>
        <v>478911.19070000004</v>
      </c>
      <c r="K315">
        <f t="shared" si="9"/>
        <v>-37635.770700000052</v>
      </c>
    </row>
    <row r="316" spans="1:11">
      <c r="A316" s="3">
        <v>18996.32</v>
      </c>
      <c r="B316" s="3">
        <v>1260</v>
      </c>
      <c r="C316" s="7">
        <v>0.14499999999999999</v>
      </c>
      <c r="D316" s="3">
        <v>9</v>
      </c>
      <c r="E316" s="3">
        <v>86.4</v>
      </c>
      <c r="F316" s="3">
        <v>4.3099999999999996</v>
      </c>
      <c r="G316" s="3">
        <v>0</v>
      </c>
      <c r="H316" s="3">
        <v>4.5999999999999996</v>
      </c>
      <c r="I316" s="3">
        <v>450711.92</v>
      </c>
      <c r="J316">
        <f t="shared" si="8"/>
        <v>464038.60745000001</v>
      </c>
      <c r="K316">
        <f t="shared" si="9"/>
        <v>-13326.687450000027</v>
      </c>
    </row>
    <row r="317" spans="1:11">
      <c r="A317" s="3">
        <v>18599.21</v>
      </c>
      <c r="B317" s="3">
        <v>3027</v>
      </c>
      <c r="C317" s="7">
        <v>0.122</v>
      </c>
      <c r="D317" s="3">
        <v>11</v>
      </c>
      <c r="E317" s="3">
        <v>80.900000000000006</v>
      </c>
      <c r="F317" s="3">
        <v>6.44</v>
      </c>
      <c r="G317" s="3">
        <v>0</v>
      </c>
      <c r="H317" s="3">
        <v>4.2</v>
      </c>
      <c r="I317" s="3">
        <v>497439.82</v>
      </c>
      <c r="J317">
        <f t="shared" si="8"/>
        <v>493953.18850000005</v>
      </c>
      <c r="K317">
        <f t="shared" si="9"/>
        <v>3486.6314999999595</v>
      </c>
    </row>
    <row r="318" spans="1:11">
      <c r="A318" s="3">
        <v>17562.57</v>
      </c>
      <c r="B318" s="3">
        <v>3326</v>
      </c>
      <c r="C318" s="7">
        <v>0.153</v>
      </c>
      <c r="D318" s="3">
        <v>14</v>
      </c>
      <c r="E318" s="3">
        <v>88.1</v>
      </c>
      <c r="F318" s="3">
        <v>1.04</v>
      </c>
      <c r="G318" s="3">
        <v>0</v>
      </c>
      <c r="H318" s="3">
        <v>3.1</v>
      </c>
      <c r="I318" s="3">
        <v>561597.32999999996</v>
      </c>
      <c r="J318">
        <f t="shared" si="8"/>
        <v>533430.37195000006</v>
      </c>
      <c r="K318">
        <f t="shared" si="9"/>
        <v>28166.958049999899</v>
      </c>
    </row>
    <row r="319" spans="1:11">
      <c r="A319" s="3">
        <v>16451.849999999999</v>
      </c>
      <c r="B319" s="3">
        <v>4678</v>
      </c>
      <c r="C319" s="7">
        <v>0.13300000000000001</v>
      </c>
      <c r="D319" s="3">
        <v>11</v>
      </c>
      <c r="E319" s="3">
        <v>95.9</v>
      </c>
      <c r="F319" s="3">
        <v>3.1</v>
      </c>
      <c r="G319" s="3">
        <v>0</v>
      </c>
      <c r="H319" s="3">
        <v>3.9</v>
      </c>
      <c r="I319" s="3">
        <v>606278.30000000005</v>
      </c>
      <c r="J319">
        <f t="shared" si="8"/>
        <v>588090.87395000004</v>
      </c>
      <c r="K319">
        <f t="shared" si="9"/>
        <v>18187.426050000009</v>
      </c>
    </row>
    <row r="320" spans="1:11">
      <c r="A320" s="3">
        <v>14519.37</v>
      </c>
      <c r="B320" s="3">
        <v>3047</v>
      </c>
      <c r="C320" s="7">
        <v>0.13500000000000001</v>
      </c>
      <c r="D320" s="3">
        <v>10</v>
      </c>
      <c r="E320" s="3">
        <v>90.3</v>
      </c>
      <c r="F320" s="3">
        <v>6.62</v>
      </c>
      <c r="G320" s="3">
        <v>0</v>
      </c>
      <c r="H320" s="3">
        <v>4.2</v>
      </c>
      <c r="I320" s="3">
        <v>528852.62</v>
      </c>
      <c r="J320">
        <f t="shared" si="8"/>
        <v>513288.93805000006</v>
      </c>
      <c r="K320">
        <f t="shared" si="9"/>
        <v>15563.68194999994</v>
      </c>
    </row>
    <row r="321" spans="1:11">
      <c r="A321" s="3">
        <v>9534.65</v>
      </c>
      <c r="B321" s="3">
        <v>6057</v>
      </c>
      <c r="C321" s="7">
        <v>7.3999999999999996E-2</v>
      </c>
      <c r="D321" s="3">
        <v>15</v>
      </c>
      <c r="E321" s="3">
        <v>94.1</v>
      </c>
      <c r="F321" s="3">
        <v>5.79</v>
      </c>
      <c r="G321" s="3">
        <v>0</v>
      </c>
      <c r="H321" s="3">
        <v>4.5</v>
      </c>
      <c r="I321" s="3">
        <v>607898.12</v>
      </c>
      <c r="J321">
        <f t="shared" si="8"/>
        <v>627929.34899999993</v>
      </c>
      <c r="K321">
        <f t="shared" si="9"/>
        <v>-20031.228999999934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20072-CA46-42BD-9530-E7E6C6E9DE29}">
  <dimension ref="A1:F4"/>
  <sheetViews>
    <sheetView zoomScale="96" zoomScaleNormal="96" workbookViewId="0">
      <selection activeCell="A2" sqref="A2"/>
    </sheetView>
  </sheetViews>
  <sheetFormatPr defaultRowHeight="14.25"/>
  <cols>
    <col min="1" max="1" width="33.75" customWidth="1"/>
    <col min="2" max="2" width="30.25" customWidth="1"/>
    <col min="3" max="3" width="16.5" customWidth="1"/>
    <col min="4" max="4" width="22.125" customWidth="1"/>
    <col min="5" max="5" width="29" customWidth="1"/>
    <col min="6" max="6" width="39.125" customWidth="1"/>
  </cols>
  <sheetData>
    <row r="1" spans="1:6" ht="15.75" thickBot="1">
      <c r="A1" s="13" t="s">
        <v>130</v>
      </c>
      <c r="B1" s="13" t="s">
        <v>131</v>
      </c>
      <c r="C1" s="13" t="s">
        <v>132</v>
      </c>
      <c r="D1" s="13" t="s">
        <v>133</v>
      </c>
      <c r="E1" s="13" t="s">
        <v>134</v>
      </c>
      <c r="F1" s="13" t="s">
        <v>135</v>
      </c>
    </row>
    <row r="2" spans="1:6" ht="75.75" thickBot="1">
      <c r="A2" s="14" t="s">
        <v>136</v>
      </c>
      <c r="B2" s="15" t="s">
        <v>142</v>
      </c>
      <c r="C2" s="16">
        <v>0.16700000000000001</v>
      </c>
      <c r="D2" s="17" t="s">
        <v>143</v>
      </c>
      <c r="E2" s="15" t="s">
        <v>144</v>
      </c>
      <c r="F2" s="15" t="s">
        <v>145</v>
      </c>
    </row>
    <row r="3" spans="1:6" ht="60.75" thickBot="1">
      <c r="A3" s="14" t="s">
        <v>137</v>
      </c>
      <c r="B3" s="15" t="s">
        <v>146</v>
      </c>
      <c r="C3" s="16">
        <v>0.73599999999999999</v>
      </c>
      <c r="D3" s="17" t="s">
        <v>147</v>
      </c>
      <c r="E3" s="15" t="s">
        <v>138</v>
      </c>
      <c r="F3" s="15" t="s">
        <v>139</v>
      </c>
    </row>
    <row r="4" spans="1:6" ht="165.75" thickBot="1">
      <c r="A4" s="14" t="s">
        <v>140</v>
      </c>
      <c r="B4" s="15" t="s">
        <v>148</v>
      </c>
      <c r="C4" s="16">
        <v>0.82799999999999996</v>
      </c>
      <c r="D4" s="15" t="s">
        <v>149</v>
      </c>
      <c r="E4" s="15" t="s">
        <v>150</v>
      </c>
      <c r="F4" s="15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Original dataset</vt:lpstr>
      <vt:lpstr>Cleaned data</vt:lpstr>
      <vt:lpstr>Dummy variable creation</vt:lpstr>
      <vt:lpstr>Simple regression output 1</vt:lpstr>
      <vt:lpstr>Simple regression output 2</vt:lpstr>
      <vt:lpstr>Multiple regression outputs</vt:lpstr>
      <vt:lpstr>Prediction and residual calcula</vt:lpstr>
      <vt:lpstr>Model comparison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divya94pd@gmail.com</cp:lastModifiedBy>
  <dcterms:created xsi:type="dcterms:W3CDTF">2026-06-28T15:17:16Z</dcterms:created>
  <dcterms:modified xsi:type="dcterms:W3CDTF">2026-06-28T17:47:54Z</dcterms:modified>
</cp:coreProperties>
</file>